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y Health" sheetId="2" r:id="rId6"/>
    <sheet state="visible" name="Sikkini" sheetId="3" r:id="rId7"/>
    <sheet state="visible" name="Fika Time" sheetId="4" r:id="rId8"/>
    <sheet state="visible" name="Man Made Marketing" sheetId="5" r:id="rId9"/>
    <sheet state="visible" name="All Content" sheetId="6" r:id="rId10"/>
  </sheets>
  <definedNames/>
  <calcPr/>
</workbook>
</file>

<file path=xl/sharedStrings.xml><?xml version="1.0" encoding="utf-8"?>
<sst xmlns="http://schemas.openxmlformats.org/spreadsheetml/2006/main" count="1574" uniqueCount="432">
  <si>
    <t>MMM— August 2026 Content Calendar</t>
  </si>
  <si>
    <t>Post #</t>
  </si>
  <si>
    <t>Week</t>
  </si>
  <si>
    <t>Platform</t>
  </si>
  <si>
    <t>Format</t>
  </si>
  <si>
    <t>Audience</t>
  </si>
  <si>
    <t>Funnel</t>
  </si>
  <si>
    <t>Client</t>
  </si>
  <si>
    <t>Pillar</t>
  </si>
  <si>
    <t>Date</t>
  </si>
  <si>
    <t>Topic</t>
  </si>
  <si>
    <t>Hook</t>
  </si>
  <si>
    <t>Campaign</t>
  </si>
  <si>
    <t>Social Posts
(Target)</t>
  </si>
  <si>
    <t>Content Idea</t>
  </si>
  <si>
    <t>Social Posts
Planned This Month</t>
  </si>
  <si>
    <t>Slide/Reel Breakdown</t>
  </si>
  <si>
    <t>Objective</t>
  </si>
  <si>
    <t>Visual Direction</t>
  </si>
  <si>
    <t>Social Posts
Published</t>
  </si>
  <si>
    <t>Reference</t>
  </si>
  <si>
    <t>CTA</t>
  </si>
  <si>
    <t>Social
Progress</t>
  </si>
  <si>
    <t>Status</t>
  </si>
  <si>
    <t>Reference.1</t>
  </si>
  <si>
    <t>Blogs
(Target)</t>
  </si>
  <si>
    <t>Music</t>
  </si>
  <si>
    <t>Blogs
Published</t>
  </si>
  <si>
    <t>Week 1</t>
  </si>
  <si>
    <t>Instagram</t>
  </si>
  <si>
    <t>Blog
Progress</t>
  </si>
  <si>
    <t>3 Aug</t>
  </si>
  <si>
    <t>Carousel</t>
  </si>
  <si>
    <t>Freshly Baked Every Day</t>
  </si>
  <si>
    <t>Notes</t>
  </si>
  <si>
    <t>B2B</t>
  </si>
  <si>
    <t>Awareness</t>
  </si>
  <si>
    <t>My Health</t>
  </si>
  <si>
    <t>Business Value</t>
  </si>
  <si>
    <t>Why Commercial Kitchens Should Stop Buying Knives</t>
  </si>
  <si>
    <t>Premium Adults</t>
  </si>
  <si>
    <t>Fresh from the Oven</t>
  </si>
  <si>
    <t>Longevity</t>
  </si>
  <si>
    <t>Stop Buying. Start Exchanging.</t>
  </si>
  <si>
    <t>Problem&gt;Cost&gt;Solution&gt;CTA</t>
  </si>
  <si>
    <t>The Science of Healthy Aging</t>
  </si>
  <si>
    <t>Show freshness &amp; craftsmanship</t>
  </si>
  <si>
    <t>Editorial infographic</t>
  </si>
  <si>
    <t>Aging is optional. Decline isn't.</t>
  </si>
  <si>
    <t>Book Trial</t>
  </si>
  <si>
    <t>https://www.instagram.com/reel/DadCWI0omOC/?utm_source=ig_web_copy_link&amp;igsh=MzRlODBiNWFlZA==</t>
  </si>
  <si>
    <t>Problem &gt; Habits &gt; CTA</t>
  </si>
  <si>
    <t>Editorial wellness</t>
  </si>
  <si>
    <t>Learn More</t>
  </si>
  <si>
    <t>Planned</t>
  </si>
  <si>
    <t>Reel</t>
  </si>
  <si>
    <t>Static</t>
  </si>
  <si>
    <t>B2C</t>
  </si>
  <si>
    <t>Professionals</t>
  </si>
  <si>
    <t>Knife Skills</t>
  </si>
  <si>
    <t>Tomato Slice Test</t>
  </si>
  <si>
    <t>Preventive Care</t>
  </si>
  <si>
    <t>One Slice Says It All.</t>
  </si>
  <si>
    <t>Prevention Is Your Greatest Investment</t>
  </si>
  <si>
    <t>Hook&gt;Slowmo&gt;CTA</t>
  </si>
  <si>
    <t>Don't wait for symptoms.</t>
  </si>
  <si>
    <t>Macro cinematography</t>
  </si>
  <si>
    <t>Follow</t>
  </si>
  <si>
    <t>Hero statement</t>
  </si>
  <si>
    <t>Luxury clinic aesthetic</t>
  </si>
  <si>
    <t>Book Consultation</t>
  </si>
  <si>
    <t>🟡 Planned</t>
  </si>
  <si>
    <t>Consideration</t>
  </si>
  <si>
    <t>https://www.instagram.com/reel/DZ7fH_Sojs6/?utm_source=ig_web_copy_link&amp;igsh=MzRlODBiNWFlZA==</t>
  </si>
  <si>
    <t>Service</t>
  </si>
  <si>
    <t>https://www.instagram.com/reels/audio/1044245831898294/</t>
  </si>
  <si>
    <t>What is SIKKINI?</t>
  </si>
  <si>
    <t>5 Aug</t>
  </si>
  <si>
    <t>Engagement</t>
  </si>
  <si>
    <t>Knife Exchange Simplified.</t>
  </si>
  <si>
    <t>Atmosphere &amp; Fresh Food</t>
  </si>
  <si>
    <t>Flow diagram</t>
  </si>
  <si>
    <t>Lifestyle</t>
  </si>
  <si>
    <t>Brand Awareness Film</t>
  </si>
  <si>
    <t>Industrial graphics</t>
  </si>
  <si>
    <t>Morning Habits for Longevity</t>
  </si>
  <si>
    <t>Introduce Fika Time lifestyle</t>
  </si>
  <si>
    <t>https://www.instagram.com/reel/DYwbr2JEXNV/</t>
  </si>
  <si>
    <t>Your first hour matters.</t>
  </si>
  <si>
    <t>Routine &gt; Tips</t>
  </si>
  <si>
    <t>https://www.instagram.com/reels/audio/1231203088367810/</t>
  </si>
  <si>
    <t>Cinematic morning visuals</t>
  </si>
  <si>
    <t>7 Aug</t>
  </si>
  <si>
    <t>Coffee &amp; Cake Pairing</t>
  </si>
  <si>
    <t>Highlight signature pairing</t>
  </si>
  <si>
    <t>https://www.instagram.com/reel/DQV5MI0k66T/?utm_source=ig_web_copy_link&amp;igsh=MzRlODBiNWFlZA==</t>
  </si>
  <si>
    <t>Costs</t>
  </si>
  <si>
    <t>https://www.instagram.com/reel/DPGVte0FPvp/?utm_source=ig_web_copy_link&amp;igsh=MzRlODBiNWFlZA==</t>
  </si>
  <si>
    <t>Hidden Cost of Dull Knives</t>
  </si>
  <si>
    <t>https://www.instagram.com/reels/audio/2408760532948877/</t>
  </si>
  <si>
    <t>You're Losing More Than Sharpness.</t>
  </si>
  <si>
    <t>Families</t>
  </si>
  <si>
    <t>Week 2</t>
  </si>
  <si>
    <t>Pain&gt;Stats&gt;Solution</t>
  </si>
  <si>
    <t>10 Aug</t>
  </si>
  <si>
    <t>Education</t>
  </si>
  <si>
    <t>Bold data visuals</t>
  </si>
  <si>
    <t>Nutrition</t>
  </si>
  <si>
    <t>Brunch Moments</t>
  </si>
  <si>
    <t>Foods That Support Healthy Aging</t>
  </si>
  <si>
    <t>Lifestyle &amp; ambience</t>
  </si>
  <si>
    <t>https://www.instagram.com/reel/DPvR1dgjILi/</t>
  </si>
  <si>
    <t>Eat for the next 20 years.</t>
  </si>
  <si>
    <t>Food &gt; Benefits &gt; CTA</t>
  </si>
  <si>
    <t>https://www.instagram.com/reel/DPTDshcCVNJ/?utm_source=ig_web_copy_link&amp;igsh=MzRlODBiNWFlZA==</t>
  </si>
  <si>
    <t>https://www.instagram.com/reels/audio/1541930454055091/</t>
  </si>
  <si>
    <t>Minimal editorial</t>
  </si>
  <si>
    <t>Save</t>
  </si>
  <si>
    <t>12 Aug</t>
  </si>
  <si>
    <t>Back to School</t>
  </si>
  <si>
    <t>Fuel Your Morning</t>
  </si>
  <si>
    <t>Seasonal awareness</t>
  </si>
  <si>
    <t>Operations</t>
  </si>
  <si>
    <t>Exchange Day</t>
  </si>
  <si>
    <t>Journey Wellness</t>
  </si>
  <si>
    <t>30 Seconds. Zero Downtime.</t>
  </si>
  <si>
    <t>https://www.instagram.com/reels/audio/698753584644420/</t>
  </si>
  <si>
    <t>Arrival&gt;Swap&gt;Exit</t>
  </si>
  <si>
    <t>Documentary</t>
  </si>
  <si>
    <t>14 Aug</t>
  </si>
  <si>
    <t>Premium Audience</t>
  </si>
  <si>
    <t>Book Demo</t>
  </si>
  <si>
    <t>Trust</t>
  </si>
  <si>
    <t>Dessert Spotlight</t>
  </si>
  <si>
    <t>Brand</t>
  </si>
  <si>
    <t>Feature signature dessert</t>
  </si>
  <si>
    <t>https://www.instagram.com/reel/DHP9go0hpay/?utm_source=ig_web_copy_link&amp;igsh=MzRlODBiNWFlZA==</t>
  </si>
  <si>
    <t>Why Choose My Health</t>
  </si>
  <si>
    <t>Healthcare, reimagined.</t>
  </si>
  <si>
    <t>Hero + key benefits</t>
  </si>
  <si>
    <t>https://www.instagram.com/reels/audio/4216755795268858/</t>
  </si>
  <si>
    <t>How the Exchange Works</t>
  </si>
  <si>
    <t>Premium white &amp; green</t>
  </si>
  <si>
    <t>Supply → Exchange → Sharpen → Repeat</t>
  </si>
  <si>
    <t>16 Aug</t>
  </si>
  <si>
    <t>7-slide process</t>
  </si>
  <si>
    <t>Minimal icons</t>
  </si>
  <si>
    <t>Slow Down at Fika</t>
  </si>
  <si>
    <t>Brand experience</t>
  </si>
  <si>
    <t>Safety</t>
  </si>
  <si>
    <t>Sikkini</t>
  </si>
  <si>
    <t>https://www.instagram.com/reels/audio/1344931484516320/</t>
  </si>
  <si>
    <t>Knife Safety Tip</t>
  </si>
  <si>
    <t>Sharp Knives Are Safer.</t>
  </si>
  <si>
    <t>Single tip</t>
  </si>
  <si>
    <t>White background</t>
  </si>
  <si>
    <t>Movement</t>
  </si>
  <si>
    <t>Move More, Live Better</t>
  </si>
  <si>
    <t>Precision</t>
  </si>
  <si>
    <t>Paper Cutting Test</t>
  </si>
  <si>
    <t>Is Your Knife Really Sharp?</t>
  </si>
  <si>
    <t>ASMR</t>
  </si>
  <si>
    <t>Every step counts.</t>
  </si>
  <si>
    <t>Close-up</t>
  </si>
  <si>
    <t>Exercise &gt; Benefits</t>
  </si>
  <si>
    <t>Lifestyle cinematography</t>
  </si>
  <si>
    <t>Share</t>
  </si>
  <si>
    <t>Hygiene</t>
  </si>
  <si>
    <t>Color-Coded Knives</t>
  </si>
  <si>
    <t>Fika Time</t>
  </si>
  <si>
    <t>Prevent Cross Contamination.</t>
  </si>
  <si>
    <t>Problem&gt;Colors</t>
  </si>
  <si>
    <t>Color system</t>
  </si>
  <si>
    <t>Contact</t>
  </si>
  <si>
    <t>Adults 35+</t>
  </si>
  <si>
    <t>Health Screening</t>
  </si>
  <si>
    <t>What Does a Preventive Check-up Include?</t>
  </si>
  <si>
    <t>Know your numbers before they matter.</t>
  </si>
  <si>
    <t>Workshop</t>
  </si>
  <si>
    <t>Screening &gt; Explanation</t>
  </si>
  <si>
    <t>Inside Tormek T8</t>
  </si>
  <si>
    <t>Medical infographic</t>
  </si>
  <si>
    <t>Precision You Can't See.</t>
  </si>
  <si>
    <t>Workshop tour</t>
  </si>
  <si>
    <t>Book Assessment</t>
  </si>
  <si>
    <t>Steel textures</t>
  </si>
  <si>
    <t>Learn</t>
  </si>
  <si>
    <t>Meet the Team</t>
  </si>
  <si>
    <t>Executives</t>
  </si>
  <si>
    <t>Experts Behind Every Blade.</t>
  </si>
  <si>
    <t>Portrait</t>
  </si>
  <si>
    <t>Industrial</t>
  </si>
  <si>
    <t>Meet Us</t>
  </si>
  <si>
    <t>Sleep</t>
  </si>
  <si>
    <t>Man Made Marketing</t>
  </si>
  <si>
    <t>Sleep Is Your Best Recovery Tool</t>
  </si>
  <si>
    <t>Better sleep. Better life.</t>
  </si>
  <si>
    <t>Single insight</t>
  </si>
  <si>
    <t>Editorial bedroom scene</t>
  </si>
  <si>
    <t>Products</t>
  </si>
  <si>
    <t>Knife Arsenal</t>
  </si>
  <si>
    <t>One Service. Every Knife.</t>
  </si>
  <si>
    <t>Knife cards</t>
  </si>
  <si>
    <t>Black/steel</t>
  </si>
  <si>
    <t>Facility</t>
  </si>
  <si>
    <t>Chef Prep Challenge</t>
  </si>
  <si>
    <t>Inside My Health</t>
  </si>
  <si>
    <t>Prep Faster.</t>
  </si>
  <si>
    <t>A premium healthcare experience.</t>
  </si>
  <si>
    <t>Challenge</t>
  </si>
  <si>
    <t>Kitchen prep</t>
  </si>
  <si>
    <t>Walkthrough</t>
  </si>
  <si>
    <t>Bright luxury interiors</t>
  </si>
  <si>
    <t>Book Visit</t>
  </si>
  <si>
    <t>Eshopify Fulfillment</t>
  </si>
  <si>
    <t>Workflow</t>
  </si>
  <si>
    <t>Restaurant vs SIKKINI</t>
  </si>
  <si>
    <t>Which Kitchen Runs Better?</t>
  </si>
  <si>
    <t>Comparison</t>
  </si>
  <si>
    <t>Adults</t>
  </si>
  <si>
    <t>Split layout</t>
  </si>
  <si>
    <t>Heart Health</t>
  </si>
  <si>
    <t>5 Silent Risk Factors</t>
  </si>
  <si>
    <t>You can't feel everything.</t>
  </si>
  <si>
    <t>Risks &gt; Prevention</t>
  </si>
  <si>
    <t>Clean infographic</t>
  </si>
  <si>
    <t>Delivery</t>
  </si>
  <si>
    <t>Delivery Day</t>
  </si>
  <si>
    <t>Always On Time.</t>
  </si>
  <si>
    <t>Delivery route</t>
  </si>
  <si>
    <t>Van shots</t>
  </si>
  <si>
    <t>Legend</t>
  </si>
  <si>
    <t>Green cells = enter manual data here (e.g., Blogs)</t>
  </si>
  <si>
    <t>Hydration</t>
  </si>
  <si>
    <t>"Planned" = posts scheduled in this workbook's calendar tabs</t>
  </si>
  <si>
    <t>Care</t>
  </si>
  <si>
    <t>Your Body Needs More Than Water</t>
  </si>
  <si>
    <t>Knife Care Myth</t>
  </si>
  <si>
    <t>Don't Store It Like This.</t>
  </si>
  <si>
    <t>"Published" = automatically counted from client tabs</t>
  </si>
  <si>
    <t>Hydration impacts every cell.</t>
  </si>
  <si>
    <t>Tip</t>
  </si>
  <si>
    <t>Journey Wellness &amp; Eshopify Fulfillment are blog-only accounts</t>
  </si>
  <si>
    <t>Minimal</t>
  </si>
  <si>
    <t>Macro wellness photography</t>
  </si>
  <si>
    <t>Conversion</t>
  </si>
  <si>
    <t>ROI</t>
  </si>
  <si>
    <t>Cost Comparison</t>
  </si>
  <si>
    <t>Renting Beats Buying.</t>
  </si>
  <si>
    <t>ROI slides</t>
  </si>
  <si>
    <t>Graphs</t>
  </si>
  <si>
    <t>Technology</t>
  </si>
  <si>
    <t>Advanced Health Screening</t>
  </si>
  <si>
    <t>Prevention powered by technology.</t>
  </si>
  <si>
    <t>Device &gt; Experience</t>
  </si>
  <si>
    <t>Luxury medical tech</t>
  </si>
  <si>
    <t>Cooking</t>
  </si>
  <si>
    <t>Slow Motion Prep</t>
  </si>
  <si>
    <t>Every Slice Matters.</t>
  </si>
  <si>
    <t>Food prep</t>
  </si>
  <si>
    <t>Macro</t>
  </si>
  <si>
    <t>Stress</t>
  </si>
  <si>
    <t>How Stress Speeds Up Aging</t>
  </si>
  <si>
    <t>Sanitization</t>
  </si>
  <si>
    <t>Stress leaves invisible marks.</t>
  </si>
  <si>
    <t>Sanitation Process</t>
  </si>
  <si>
    <t>Clean Every Exchange.</t>
  </si>
  <si>
    <t>Science &gt; Solutions</t>
  </si>
  <si>
    <t>Calm editorial graphics</t>
  </si>
  <si>
    <t>Sterile visuals</t>
  </si>
  <si>
    <t>Inspection</t>
  </si>
  <si>
    <t>Quality Inspection</t>
  </si>
  <si>
    <t>Every Knife Checked.</t>
  </si>
  <si>
    <t>Doctor Expertise</t>
  </si>
  <si>
    <t>Meet Our Specialists</t>
  </si>
  <si>
    <t>Experts dedicated to your longevity.</t>
  </si>
  <si>
    <t>Portrait + credentials</t>
  </si>
  <si>
    <t>Elegant portrait photography</t>
  </si>
  <si>
    <t>Offer</t>
  </si>
  <si>
    <t>2-Week Free Trial</t>
  </si>
  <si>
    <t>Try Risk-Free.</t>
  </si>
  <si>
    <t>Bold CTA</t>
  </si>
  <si>
    <t>Build a Longevity Plate</t>
  </si>
  <si>
    <t>Hotels</t>
  </si>
  <si>
    <t>Why Hotels Choose SIKKINI</t>
  </si>
  <si>
    <t>Every meal is an investment.</t>
  </si>
  <si>
    <t>Built for Busy Kitchens.</t>
  </si>
  <si>
    <t>Benefits</t>
  </si>
  <si>
    <t>Hotel kitchen</t>
  </si>
  <si>
    <t>Food prep &gt; Tips</t>
  </si>
  <si>
    <t>Bright kitchen visuals</t>
  </si>
  <si>
    <t>Knife Knowledge</t>
  </si>
  <si>
    <t>Exercise</t>
  </si>
  <si>
    <t>Knife Anatomy</t>
  </si>
  <si>
    <t>Business Owners</t>
  </si>
  <si>
    <t>Know Your Blade.</t>
  </si>
  <si>
    <t>Strength Training &amp; Longevity</t>
  </si>
  <si>
    <t>Color Psychology</t>
  </si>
  <si>
    <t>Muscle is medicine.</t>
  </si>
  <si>
    <t>Explainer</t>
  </si>
  <si>
    <t>Blue Builds Trust</t>
  </si>
  <si>
    <t>Benefits &gt; Routine</t>
  </si>
  <si>
    <t>Motion labels</t>
  </si>
  <si>
    <t>Why do banks love blue?</t>
  </si>
  <si>
    <t>Editorial fitness</t>
  </si>
  <si>
    <t>Hero statement + examples</t>
  </si>
  <si>
    <t>Editorial, blue gradient, minimal</t>
  </si>
  <si>
    <t>Efficiency</t>
  </si>
  <si>
    <t>Save Hours Weekly</t>
  </si>
  <si>
    <t>Time Is Money.</t>
  </si>
  <si>
    <t>Small Habits. Big Results.</t>
  </si>
  <si>
    <t>Clock graphics</t>
  </si>
  <si>
    <t>Consistency beats intensity.</t>
  </si>
  <si>
    <t>Brand Breakdown</t>
  </si>
  <si>
    <t>Why Apple Never Discounts</t>
  </si>
  <si>
    <t>Minimal luxury aesthetic</t>
  </si>
  <si>
    <t>Premium isn't about price</t>
  </si>
  <si>
    <t>Hook &gt; Analysis &gt; Takeaway</t>
  </si>
  <si>
    <t>Clean motion graphics</t>
  </si>
  <si>
    <t>Testimonial</t>
  </si>
  <si>
    <t>Chef Testimonial</t>
  </si>
  <si>
    <t>Why We Switched.</t>
  </si>
  <si>
    <t>Interview</t>
  </si>
  <si>
    <t>Authentic</t>
  </si>
  <si>
    <t>Startups</t>
  </si>
  <si>
    <t>Branding</t>
  </si>
  <si>
    <t>Patient Experience</t>
  </si>
  <si>
    <t>5 Branding Mistakes</t>
  </si>
  <si>
    <t>Is your brand making these mistakes?</t>
  </si>
  <si>
    <t>A Day at My Health</t>
  </si>
  <si>
    <t>Mistake &gt; Example &gt; Fix</t>
  </si>
  <si>
    <t>Wellness starts here.</t>
  </si>
  <si>
    <t>Arrival &gt; Consultation</t>
  </si>
  <si>
    <t>Cinematic clinic story</t>
  </si>
  <si>
    <t>Social Proof</t>
  </si>
  <si>
    <t>Client Quote</t>
  </si>
  <si>
    <t>Trusted by Professionals.</t>
  </si>
  <si>
    <t>Quote</t>
  </si>
  <si>
    <t>Red Makes You Hungry</t>
  </si>
  <si>
    <t>There's a reason restaurants use red</t>
  </si>
  <si>
    <t>Hook &gt; Examples &gt; Psychology</t>
  </si>
  <si>
    <t>Fast-paced motion</t>
  </si>
  <si>
    <t>SMEs</t>
  </si>
  <si>
    <t>Buying Guide</t>
  </si>
  <si>
    <t>Marketing</t>
  </si>
  <si>
    <t>Choose the Right Knife</t>
  </si>
  <si>
    <t>When Should You Get Screened?</t>
  </si>
  <si>
    <t>One Knife Doesn't Fit All.</t>
  </si>
  <si>
    <t>People Buy Stories</t>
  </si>
  <si>
    <t>The right time is before symptoms.</t>
  </si>
  <si>
    <t>Guide</t>
  </si>
  <si>
    <t>Stop selling. Start storytelling.</t>
  </si>
  <si>
    <t>Illustrations</t>
  </si>
  <si>
    <t>Timeline &gt; CTA</t>
  </si>
  <si>
    <t>Hero quote</t>
  </si>
  <si>
    <t>Black &amp; white editorial</t>
  </si>
  <si>
    <t>Transformation</t>
  </si>
  <si>
    <t>Dull to Razor Sharp</t>
  </si>
  <si>
    <t>See the Difference.</t>
  </si>
  <si>
    <t>Before/After</t>
  </si>
  <si>
    <t>Invest in Your Future Self</t>
  </si>
  <si>
    <t>Your future health starts today.</t>
  </si>
  <si>
    <t>FAQ</t>
  </si>
  <si>
    <t>Marketing Strategy</t>
  </si>
  <si>
    <t>Hero visual + CTA</t>
  </si>
  <si>
    <t>Frequently Asked Questions</t>
  </si>
  <si>
    <t>Why Consistency Wins</t>
  </si>
  <si>
    <t>The strongest brands repeat</t>
  </si>
  <si>
    <t>Luxury wellness campaign</t>
  </si>
  <si>
    <t>Everything You Need.</t>
  </si>
  <si>
    <t>Principle &gt; Examples &gt; Action</t>
  </si>
  <si>
    <t>Grid layout</t>
  </si>
  <si>
    <t>FAQ slides</t>
  </si>
  <si>
    <t>Accordion</t>
  </si>
  <si>
    <t>Entrepreneurs</t>
  </si>
  <si>
    <t>Logo Design</t>
  </si>
  <si>
    <t>Can You Recognize This Logo?</t>
  </si>
  <si>
    <t>Remove the name, keep the shape</t>
  </si>
  <si>
    <t>Quiz &gt; Reveal</t>
  </si>
  <si>
    <t>Motion graphics</t>
  </si>
  <si>
    <t>Book Your Trial</t>
  </si>
  <si>
    <t>Comment</t>
  </si>
  <si>
    <t>Ready to Upgrade?</t>
  </si>
  <si>
    <t>Montage</t>
  </si>
  <si>
    <t>Brand film</t>
  </si>
  <si>
    <t>Design</t>
  </si>
  <si>
    <t>First Impressions Matter</t>
  </si>
  <si>
    <t>Your website has 5 seconds</t>
  </si>
  <si>
    <t>Minimal UI-inspired layout</t>
  </si>
  <si>
    <t>Marketing Teams</t>
  </si>
  <si>
    <t>Typography</t>
  </si>
  <si>
    <t>Fonts That Build Trust</t>
  </si>
  <si>
    <t>Typography changes perception</t>
  </si>
  <si>
    <t>Comparison slides</t>
  </si>
  <si>
    <t>Editorial typography</t>
  </si>
  <si>
    <t>Why Nike Doesn't Sell Shoes</t>
  </si>
  <si>
    <t>They're selling identity</t>
  </si>
  <si>
    <t>Hook &gt; Campaigns &gt; Lesson</t>
  </si>
  <si>
    <t>Dynamic motion</t>
  </si>
  <si>
    <t>Businesses</t>
  </si>
  <si>
    <t>Agency</t>
  </si>
  <si>
    <t>What We Actually Do</t>
  </si>
  <si>
    <t>More than social media</t>
  </si>
  <si>
    <t>Service overview</t>
  </si>
  <si>
    <t>Minimal iconography</t>
  </si>
  <si>
    <t>Website Design</t>
  </si>
  <si>
    <t>Signs Your Website Needs a Redesign</t>
  </si>
  <si>
    <t>Losing customers without knowing?</t>
  </si>
  <si>
    <t>Problems &gt; Fixes</t>
  </si>
  <si>
    <t>Clean UI mockups</t>
  </si>
  <si>
    <t>Funnel Stage</t>
  </si>
  <si>
    <t>Campaign / Pillar</t>
  </si>
  <si>
    <t>AI Marketing</t>
  </si>
  <si>
    <t>Topic / Content Idea</t>
  </si>
  <si>
    <t>AI Won't Replace Good Branding</t>
  </si>
  <si>
    <t>Strategy still wins</t>
  </si>
  <si>
    <t>Myth &gt; Reality</t>
  </si>
  <si>
    <t>Cinematic motion</t>
  </si>
  <si>
    <t>Reference Link</t>
  </si>
  <si>
    <t>Case Study</t>
  </si>
  <si>
    <t>Before &amp; After Branding</t>
  </si>
  <si>
    <t>See the transformation</t>
  </si>
  <si>
    <t>Before &gt; Process &gt; After</t>
  </si>
  <si>
    <t>Split-screen visuals</t>
  </si>
  <si>
    <t>1</t>
  </si>
  <si>
    <t>Agency Brand</t>
  </si>
  <si>
    <t>Let's Build Something Memorable</t>
  </si>
  <si>
    <t>Your next customer is watching</t>
  </si>
  <si>
    <t>Showreel &gt; Portfolio &gt; CTA</t>
  </si>
  <si>
    <t>High-end agency reel</t>
  </si>
  <si>
    <t>Book a Discovery Call</t>
  </si>
  <si>
    <t>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</si>
</sst>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6.0"/>
      <color rgb="FFFF0000"/>
      <name val="Arial"/>
    </font>
    <font>
      <i/>
      <sz val="10.0"/>
      <color rgb="FF666666"/>
      <name val="Arial"/>
    </font>
    <font>
      <sz val="10.0"/>
      <color rgb="FF1A1A1A"/>
      <name val="Arial"/>
    </font>
    <font>
      <b/>
      <sz val="10.0"/>
      <color rgb="FF1A1A1A"/>
      <name val="Arial"/>
    </font>
    <font>
      <u/>
      <sz val="10.0"/>
      <color rgb="FF0000FF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D81212"/>
        <bgColor rgb="FFD81212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0" fontId="4" numFmtId="9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FF3CD"/>
          <bgColor rgb="FFFFF3CD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  <dxf>
      <font/>
      <fill>
        <patternFill patternType="solid">
          <fgColor rgb="FFCCE5FF"/>
          <bgColor rgb="FFCCE5FF"/>
        </patternFill>
      </fill>
      <border/>
    </dxf>
    <dxf>
      <font/>
      <fill>
        <patternFill patternType="solid">
          <fgColor rgb="FFE2E3E5"/>
          <bgColor rgb="FFE2E3E5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adCWI0omOC/?utm_source=ig_web_copy_link&amp;igsh=MzRlODBiNWFlZA==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9.43"/>
    <col customWidth="1" min="3" max="3" width="28.71"/>
    <col customWidth="1" min="4" max="4" width="14.86"/>
    <col customWidth="1" min="5" max="5" width="14.0"/>
    <col customWidth="1" min="6" max="6" width="21.14"/>
    <col customWidth="1" min="7" max="7" width="18.14"/>
    <col customWidth="1" min="8" max="8" width="19.86"/>
    <col customWidth="1" min="9" max="9" width="42.0"/>
    <col customWidth="1" min="10" max="26" width="8.71"/>
  </cols>
  <sheetData>
    <row r="1">
      <c r="A1" s="2" t="s">
        <v>0</v>
      </c>
    </row>
    <row r="2">
      <c r="A2" s="3"/>
    </row>
    <row r="4" ht="38.25" customHeight="1">
      <c r="A4" s="4" t="s">
        <v>7</v>
      </c>
      <c r="B4" s="4" t="s">
        <v>13</v>
      </c>
      <c r="C4" s="4" t="s">
        <v>15</v>
      </c>
      <c r="D4" s="4" t="s">
        <v>19</v>
      </c>
      <c r="E4" s="4" t="s">
        <v>22</v>
      </c>
      <c r="F4" s="4" t="s">
        <v>25</v>
      </c>
      <c r="G4" s="4" t="s">
        <v>27</v>
      </c>
      <c r="H4" s="4" t="s">
        <v>30</v>
      </c>
      <c r="I4" s="4" t="s">
        <v>34</v>
      </c>
    </row>
    <row r="5">
      <c r="A5" s="7" t="s">
        <v>37</v>
      </c>
      <c r="B5" s="5">
        <v>20.0</v>
      </c>
      <c r="C5" s="5">
        <f>COUNTIF('All Content'!$A:$A,A5)</f>
        <v>20</v>
      </c>
      <c r="D5" s="9">
        <f>COUNTIF('My Health'!M:M, "Published")</f>
        <v>0</v>
      </c>
      <c r="E5" s="10">
        <f t="shared" ref="E5:E10" si="1">IF(B5=0,"N/A",D5/B5)</f>
        <v>0</v>
      </c>
      <c r="F5" s="5">
        <v>8.0</v>
      </c>
      <c r="G5" s="11"/>
      <c r="H5" s="10">
        <f t="shared" ref="H5:H10" si="2">IF(F5=0,"N/A",G5/F5)</f>
        <v>0</v>
      </c>
      <c r="I5" s="6" t="str">
        <f t="shared" ref="I5:I10" si="3">IF(B5=0,"Blog-only client — no social calendar this month",IF(B5&gt;C5,"Needs "&amp;(B5-C5)&amp;" more post(s) scheduled to hit target","Calendar complete for target"))</f>
        <v>Calendar complete for target</v>
      </c>
    </row>
    <row r="6">
      <c r="A6" s="7" t="s">
        <v>124</v>
      </c>
      <c r="B6" s="5">
        <v>0.0</v>
      </c>
      <c r="C6" s="5">
        <f>COUNTIF('All Content'!$A:$A,A6)</f>
        <v>0</v>
      </c>
      <c r="D6" s="9"/>
      <c r="E6" s="10" t="str">
        <f t="shared" si="1"/>
        <v>N/A</v>
      </c>
      <c r="F6" s="5">
        <v>8.0</v>
      </c>
      <c r="G6" s="11"/>
      <c r="H6" s="10">
        <f t="shared" si="2"/>
        <v>0</v>
      </c>
      <c r="I6" s="6" t="str">
        <f t="shared" si="3"/>
        <v>Blog-only client — no social calendar this month</v>
      </c>
    </row>
    <row r="7">
      <c r="A7" s="7" t="s">
        <v>150</v>
      </c>
      <c r="B7" s="5">
        <v>30.0</v>
      </c>
      <c r="C7" s="5">
        <f>COUNTIF('All Content'!$A:$A,A7)</f>
        <v>30</v>
      </c>
      <c r="D7" s="9">
        <f>COUNTIF(Sikkini!M:M, "Published")</f>
        <v>0</v>
      </c>
      <c r="E7" s="10">
        <f t="shared" si="1"/>
        <v>0</v>
      </c>
      <c r="F7" s="5">
        <v>8.0</v>
      </c>
      <c r="G7" s="11"/>
      <c r="H7" s="10">
        <f t="shared" si="2"/>
        <v>0</v>
      </c>
      <c r="I7" s="6" t="str">
        <f t="shared" si="3"/>
        <v>Calendar complete for target</v>
      </c>
    </row>
    <row r="8">
      <c r="A8" s="7" t="s">
        <v>169</v>
      </c>
      <c r="B8" s="5">
        <v>15.0</v>
      </c>
      <c r="C8" s="5">
        <f>COUNTIF('All Content'!$A:$A,A8)</f>
        <v>7</v>
      </c>
      <c r="D8" s="9">
        <f>COUNTIF('Fika Time'!H:H, "Published")</f>
        <v>0</v>
      </c>
      <c r="E8" s="10">
        <f t="shared" si="1"/>
        <v>0</v>
      </c>
      <c r="F8" s="5">
        <v>0.0</v>
      </c>
      <c r="G8" s="11"/>
      <c r="H8" s="10" t="str">
        <f t="shared" si="2"/>
        <v>N/A</v>
      </c>
      <c r="I8" s="6" t="str">
        <f t="shared" si="3"/>
        <v>Needs 8 more post(s) scheduled to hit target</v>
      </c>
    </row>
    <row r="9">
      <c r="A9" s="7" t="s">
        <v>194</v>
      </c>
      <c r="B9" s="5">
        <v>15.0</v>
      </c>
      <c r="C9" s="5">
        <f>COUNTIF('All Content'!$A:$A,A9)</f>
        <v>15</v>
      </c>
      <c r="D9" s="9">
        <f>COUNTIF('Man Made Marketing'!M:M, "Published")</f>
        <v>0</v>
      </c>
      <c r="E9" s="10">
        <f t="shared" si="1"/>
        <v>0</v>
      </c>
      <c r="F9" s="5">
        <v>7.0</v>
      </c>
      <c r="G9" s="11"/>
      <c r="H9" s="10">
        <f t="shared" si="2"/>
        <v>0</v>
      </c>
      <c r="I9" s="6" t="str">
        <f t="shared" si="3"/>
        <v>Calendar complete for target</v>
      </c>
    </row>
    <row r="10">
      <c r="A10" s="7" t="s">
        <v>214</v>
      </c>
      <c r="B10" s="5">
        <v>0.0</v>
      </c>
      <c r="C10" s="5">
        <f>COUNTIF('All Content'!$A:$A,A10)</f>
        <v>0</v>
      </c>
      <c r="D10" s="9"/>
      <c r="E10" s="10" t="str">
        <f t="shared" si="1"/>
        <v>N/A</v>
      </c>
      <c r="F10" s="5">
        <v>8.0</v>
      </c>
      <c r="G10" s="11"/>
      <c r="H10" s="10">
        <f t="shared" si="2"/>
        <v>0</v>
      </c>
      <c r="I10" s="6" t="str">
        <f t="shared" si="3"/>
        <v>Blog-only client — no social calendar this month</v>
      </c>
    </row>
    <row r="12">
      <c r="A12" s="12" t="s">
        <v>231</v>
      </c>
    </row>
    <row r="13">
      <c r="A13" s="13" t="s">
        <v>232</v>
      </c>
    </row>
    <row r="14">
      <c r="A14" s="14" t="s">
        <v>234</v>
      </c>
    </row>
    <row r="15">
      <c r="A15" s="14" t="s">
        <v>239</v>
      </c>
    </row>
    <row r="16">
      <c r="A16" s="15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I5:I10">
    <cfRule type="expression" dxfId="4" priority="1">
      <formula>ISNUMBER(SEARCH("Needs",I5))</formula>
    </cfRule>
  </conditionalFormatting>
  <conditionalFormatting sqref="I5:I10">
    <cfRule type="expression" dxfId="1" priority="2">
      <formula>ISNUMBER(SEARCH("complete",I5))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43"/>
    <col customWidth="1" min="3" max="3" width="19.14"/>
    <col customWidth="1" min="4" max="4" width="20.86"/>
    <col customWidth="1" min="5" max="5" width="22.0"/>
    <col customWidth="1" min="6" max="6" width="28.29"/>
    <col customWidth="1" min="7" max="7" width="21.14"/>
    <col customWidth="1" min="8" max="8" width="46.86"/>
    <col customWidth="1" min="9" max="9" width="40.0"/>
    <col customWidth="1" min="10" max="10" width="27.57"/>
    <col customWidth="1" min="11" max="11" width="48.86"/>
    <col customWidth="1" min="12" max="12" width="16.0"/>
    <col customWidth="1" min="13" max="13" width="24.29"/>
    <col customWidth="1" min="14" max="26" width="8.71"/>
  </cols>
  <sheetData>
    <row r="1" ht="19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16</v>
      </c>
      <c r="K1" s="1" t="s">
        <v>18</v>
      </c>
      <c r="L1" s="1" t="s">
        <v>21</v>
      </c>
      <c r="M1" s="1" t="s">
        <v>23</v>
      </c>
    </row>
    <row r="2" ht="22.5" customHeight="1">
      <c r="A2" s="5">
        <v>1.0</v>
      </c>
      <c r="B2" s="5">
        <v>1.0</v>
      </c>
      <c r="C2" s="5" t="s">
        <v>29</v>
      </c>
      <c r="D2" s="5" t="s">
        <v>32</v>
      </c>
      <c r="E2" s="5" t="s">
        <v>40</v>
      </c>
      <c r="F2" s="5" t="s">
        <v>36</v>
      </c>
      <c r="G2" s="5" t="s">
        <v>42</v>
      </c>
      <c r="H2" s="6" t="s">
        <v>45</v>
      </c>
      <c r="I2" s="6" t="s">
        <v>48</v>
      </c>
      <c r="J2" s="6" t="s">
        <v>51</v>
      </c>
      <c r="K2" s="6" t="s">
        <v>52</v>
      </c>
      <c r="L2" s="5" t="s">
        <v>53</v>
      </c>
      <c r="M2" s="5" t="s">
        <v>54</v>
      </c>
    </row>
    <row r="3">
      <c r="A3" s="5">
        <v>2.0</v>
      </c>
      <c r="B3" s="5">
        <v>1.0</v>
      </c>
      <c r="C3" s="5" t="s">
        <v>29</v>
      </c>
      <c r="D3" s="5" t="s">
        <v>56</v>
      </c>
      <c r="E3" s="5" t="s">
        <v>58</v>
      </c>
      <c r="F3" s="5" t="s">
        <v>36</v>
      </c>
      <c r="G3" s="5" t="s">
        <v>61</v>
      </c>
      <c r="H3" s="6" t="s">
        <v>63</v>
      </c>
      <c r="I3" s="6" t="s">
        <v>65</v>
      </c>
      <c r="J3" s="6" t="s">
        <v>68</v>
      </c>
      <c r="K3" s="6" t="s">
        <v>69</v>
      </c>
      <c r="L3" s="5" t="s">
        <v>70</v>
      </c>
      <c r="M3" s="5" t="s">
        <v>54</v>
      </c>
    </row>
    <row r="4" ht="29.25" customHeight="1">
      <c r="A4" s="5">
        <v>3.0</v>
      </c>
      <c r="B4" s="5">
        <v>1.0</v>
      </c>
      <c r="C4" s="5" t="s">
        <v>29</v>
      </c>
      <c r="D4" s="5" t="s">
        <v>55</v>
      </c>
      <c r="E4" s="5" t="s">
        <v>58</v>
      </c>
      <c r="F4" s="5" t="s">
        <v>78</v>
      </c>
      <c r="G4" s="5" t="s">
        <v>82</v>
      </c>
      <c r="H4" s="6" t="s">
        <v>85</v>
      </c>
      <c r="I4" s="6" t="s">
        <v>88</v>
      </c>
      <c r="J4" s="6" t="s">
        <v>89</v>
      </c>
      <c r="K4" s="6" t="s">
        <v>91</v>
      </c>
      <c r="L4" s="5" t="s">
        <v>67</v>
      </c>
      <c r="M4" s="5" t="s">
        <v>54</v>
      </c>
    </row>
    <row r="5" ht="26.25" customHeight="1">
      <c r="A5" s="5">
        <v>4.0</v>
      </c>
      <c r="B5" s="5">
        <v>1.0</v>
      </c>
      <c r="C5" s="5" t="s">
        <v>29</v>
      </c>
      <c r="D5" s="5" t="s">
        <v>32</v>
      </c>
      <c r="E5" s="5" t="s">
        <v>101</v>
      </c>
      <c r="F5" s="5" t="s">
        <v>105</v>
      </c>
      <c r="G5" s="5" t="s">
        <v>107</v>
      </c>
      <c r="H5" s="6" t="s">
        <v>109</v>
      </c>
      <c r="I5" s="6" t="s">
        <v>112</v>
      </c>
      <c r="J5" s="6" t="s">
        <v>113</v>
      </c>
      <c r="K5" s="6" t="s">
        <v>116</v>
      </c>
      <c r="L5" s="5" t="s">
        <v>117</v>
      </c>
      <c r="M5" s="5" t="s">
        <v>54</v>
      </c>
    </row>
    <row r="6">
      <c r="A6" s="5">
        <v>5.0</v>
      </c>
      <c r="B6" s="5">
        <v>1.0</v>
      </c>
      <c r="C6" s="5" t="s">
        <v>29</v>
      </c>
      <c r="D6" s="5" t="s">
        <v>56</v>
      </c>
      <c r="E6" s="5" t="s">
        <v>130</v>
      </c>
      <c r="F6" s="5" t="s">
        <v>132</v>
      </c>
      <c r="G6" s="5" t="s">
        <v>134</v>
      </c>
      <c r="H6" s="6" t="s">
        <v>137</v>
      </c>
      <c r="I6" s="6" t="s">
        <v>138</v>
      </c>
      <c r="J6" s="6" t="s">
        <v>139</v>
      </c>
      <c r="K6" s="6" t="s">
        <v>142</v>
      </c>
      <c r="L6" s="5" t="s">
        <v>53</v>
      </c>
      <c r="M6" s="5" t="s">
        <v>54</v>
      </c>
    </row>
    <row r="7" ht="21.75" customHeight="1">
      <c r="A7" s="5">
        <v>6.0</v>
      </c>
      <c r="B7" s="5">
        <v>2.0</v>
      </c>
      <c r="C7" s="5" t="s">
        <v>29</v>
      </c>
      <c r="D7" s="5" t="s">
        <v>55</v>
      </c>
      <c r="E7" s="5" t="s">
        <v>58</v>
      </c>
      <c r="F7" s="5" t="s">
        <v>78</v>
      </c>
      <c r="G7" s="5" t="s">
        <v>156</v>
      </c>
      <c r="H7" s="6" t="s">
        <v>157</v>
      </c>
      <c r="I7" s="6" t="s">
        <v>162</v>
      </c>
      <c r="J7" s="6" t="s">
        <v>164</v>
      </c>
      <c r="K7" s="6" t="s">
        <v>165</v>
      </c>
      <c r="L7" s="5" t="s">
        <v>166</v>
      </c>
      <c r="M7" s="5" t="s">
        <v>54</v>
      </c>
    </row>
    <row r="8">
      <c r="A8" s="5">
        <v>7.0</v>
      </c>
      <c r="B8" s="5">
        <v>2.0</v>
      </c>
      <c r="C8" s="5" t="s">
        <v>29</v>
      </c>
      <c r="D8" s="5" t="s">
        <v>32</v>
      </c>
      <c r="E8" s="5" t="s">
        <v>174</v>
      </c>
      <c r="F8" s="5" t="s">
        <v>105</v>
      </c>
      <c r="G8" s="5" t="s">
        <v>175</v>
      </c>
      <c r="H8" s="6" t="s">
        <v>176</v>
      </c>
      <c r="I8" s="6" t="s">
        <v>177</v>
      </c>
      <c r="J8" s="6" t="s">
        <v>179</v>
      </c>
      <c r="K8" s="6" t="s">
        <v>181</v>
      </c>
      <c r="L8" s="5" t="s">
        <v>184</v>
      </c>
      <c r="M8" s="5" t="s">
        <v>54</v>
      </c>
    </row>
    <row r="9" ht="20.25" customHeight="1">
      <c r="A9" s="5">
        <v>8.0</v>
      </c>
      <c r="B9" s="5">
        <v>2.0</v>
      </c>
      <c r="C9" s="5" t="s">
        <v>29</v>
      </c>
      <c r="D9" s="5" t="s">
        <v>56</v>
      </c>
      <c r="E9" s="5" t="s">
        <v>188</v>
      </c>
      <c r="F9" s="5" t="s">
        <v>36</v>
      </c>
      <c r="G9" s="5" t="s">
        <v>193</v>
      </c>
      <c r="H9" s="6" t="s">
        <v>195</v>
      </c>
      <c r="I9" s="6" t="s">
        <v>196</v>
      </c>
      <c r="J9" s="6" t="s">
        <v>197</v>
      </c>
      <c r="K9" s="6" t="s">
        <v>198</v>
      </c>
      <c r="L9" s="5" t="s">
        <v>117</v>
      </c>
      <c r="M9" s="5" t="s">
        <v>54</v>
      </c>
    </row>
    <row r="10" ht="21.75" customHeight="1">
      <c r="A10" s="5">
        <v>9.0</v>
      </c>
      <c r="B10" s="5">
        <v>2.0</v>
      </c>
      <c r="C10" s="5" t="s">
        <v>29</v>
      </c>
      <c r="D10" s="5" t="s">
        <v>55</v>
      </c>
      <c r="E10" s="5" t="s">
        <v>58</v>
      </c>
      <c r="F10" s="5" t="s">
        <v>132</v>
      </c>
      <c r="G10" s="5" t="s">
        <v>204</v>
      </c>
      <c r="H10" s="6" t="s">
        <v>206</v>
      </c>
      <c r="I10" s="6" t="s">
        <v>208</v>
      </c>
      <c r="J10" s="6" t="s">
        <v>211</v>
      </c>
      <c r="K10" s="6" t="s">
        <v>212</v>
      </c>
      <c r="L10" s="5" t="s">
        <v>213</v>
      </c>
      <c r="M10" s="5" t="s">
        <v>54</v>
      </c>
    </row>
    <row r="11" ht="28.5" customHeight="1">
      <c r="A11" s="5">
        <v>10.0</v>
      </c>
      <c r="B11" s="5">
        <v>3.0</v>
      </c>
      <c r="C11" s="5" t="s">
        <v>29</v>
      </c>
      <c r="D11" s="5" t="s">
        <v>32</v>
      </c>
      <c r="E11" s="5" t="s">
        <v>219</v>
      </c>
      <c r="F11" s="5" t="s">
        <v>105</v>
      </c>
      <c r="G11" s="5" t="s">
        <v>221</v>
      </c>
      <c r="H11" s="6" t="s">
        <v>222</v>
      </c>
      <c r="I11" s="6" t="s">
        <v>223</v>
      </c>
      <c r="J11" s="6" t="s">
        <v>224</v>
      </c>
      <c r="K11" s="6" t="s">
        <v>225</v>
      </c>
      <c r="L11" s="5" t="s">
        <v>117</v>
      </c>
      <c r="M11" s="5" t="s">
        <v>54</v>
      </c>
    </row>
    <row r="12">
      <c r="A12" s="5">
        <v>11.0</v>
      </c>
      <c r="B12" s="5">
        <v>3.0</v>
      </c>
      <c r="C12" s="5" t="s">
        <v>29</v>
      </c>
      <c r="D12" s="5" t="s">
        <v>56</v>
      </c>
      <c r="E12" s="5" t="s">
        <v>58</v>
      </c>
      <c r="F12" s="5" t="s">
        <v>36</v>
      </c>
      <c r="G12" s="5" t="s">
        <v>233</v>
      </c>
      <c r="H12" s="6" t="s">
        <v>236</v>
      </c>
      <c r="I12" s="6" t="s">
        <v>240</v>
      </c>
      <c r="J12" s="6" t="s">
        <v>68</v>
      </c>
      <c r="K12" s="6" t="s">
        <v>244</v>
      </c>
      <c r="L12" s="5" t="s">
        <v>67</v>
      </c>
      <c r="M12" s="5" t="s">
        <v>54</v>
      </c>
    </row>
    <row r="13" ht="27.0" customHeight="1">
      <c r="A13" s="5">
        <v>12.0</v>
      </c>
      <c r="B13" s="5">
        <v>3.0</v>
      </c>
      <c r="C13" s="5" t="s">
        <v>29</v>
      </c>
      <c r="D13" s="5" t="s">
        <v>55</v>
      </c>
      <c r="E13" s="5" t="s">
        <v>130</v>
      </c>
      <c r="F13" s="5" t="s">
        <v>78</v>
      </c>
      <c r="G13" s="5" t="s">
        <v>251</v>
      </c>
      <c r="H13" s="6" t="s">
        <v>252</v>
      </c>
      <c r="I13" s="6" t="s">
        <v>253</v>
      </c>
      <c r="J13" s="6" t="s">
        <v>254</v>
      </c>
      <c r="K13" s="6" t="s">
        <v>255</v>
      </c>
      <c r="L13" s="5" t="s">
        <v>53</v>
      </c>
      <c r="M13" s="5" t="s">
        <v>54</v>
      </c>
    </row>
    <row r="14" ht="21.0" customHeight="1">
      <c r="A14" s="5">
        <v>13.0</v>
      </c>
      <c r="B14" s="5">
        <v>3.0</v>
      </c>
      <c r="C14" s="5" t="s">
        <v>29</v>
      </c>
      <c r="D14" s="5" t="s">
        <v>32</v>
      </c>
      <c r="E14" s="5" t="s">
        <v>219</v>
      </c>
      <c r="F14" s="5" t="s">
        <v>105</v>
      </c>
      <c r="G14" s="5" t="s">
        <v>261</v>
      </c>
      <c r="H14" s="6" t="s">
        <v>262</v>
      </c>
      <c r="I14" s="6" t="s">
        <v>264</v>
      </c>
      <c r="J14" s="6" t="s">
        <v>267</v>
      </c>
      <c r="K14" s="6" t="s">
        <v>268</v>
      </c>
      <c r="L14" s="5" t="s">
        <v>117</v>
      </c>
      <c r="M14" s="5" t="s">
        <v>54</v>
      </c>
    </row>
    <row r="15" ht="21.0" customHeight="1">
      <c r="A15" s="5">
        <v>14.0</v>
      </c>
      <c r="B15" s="5">
        <v>4.0</v>
      </c>
      <c r="C15" s="5" t="s">
        <v>29</v>
      </c>
      <c r="D15" s="5" t="s">
        <v>56</v>
      </c>
      <c r="E15" s="5" t="s">
        <v>188</v>
      </c>
      <c r="F15" s="5" t="s">
        <v>132</v>
      </c>
      <c r="G15" s="5" t="s">
        <v>273</v>
      </c>
      <c r="H15" s="6" t="s">
        <v>274</v>
      </c>
      <c r="I15" s="6" t="s">
        <v>275</v>
      </c>
      <c r="J15" s="6" t="s">
        <v>276</v>
      </c>
      <c r="K15" s="6" t="s">
        <v>277</v>
      </c>
      <c r="L15" s="5" t="s">
        <v>53</v>
      </c>
      <c r="M15" s="5" t="s">
        <v>54</v>
      </c>
    </row>
    <row r="16" ht="28.5" customHeight="1">
      <c r="A16" s="5">
        <v>15.0</v>
      </c>
      <c r="B16" s="5">
        <v>4.0</v>
      </c>
      <c r="C16" s="5" t="s">
        <v>29</v>
      </c>
      <c r="D16" s="5" t="s">
        <v>55</v>
      </c>
      <c r="E16" s="5" t="s">
        <v>101</v>
      </c>
      <c r="F16" s="5" t="s">
        <v>78</v>
      </c>
      <c r="G16" s="5" t="s">
        <v>107</v>
      </c>
      <c r="H16" s="6" t="s">
        <v>282</v>
      </c>
      <c r="I16" s="6" t="s">
        <v>285</v>
      </c>
      <c r="J16" s="6" t="s">
        <v>289</v>
      </c>
      <c r="K16" s="6" t="s">
        <v>290</v>
      </c>
      <c r="L16" s="5" t="s">
        <v>166</v>
      </c>
      <c r="M16" s="5" t="s">
        <v>54</v>
      </c>
    </row>
    <row r="17">
      <c r="A17" s="5">
        <v>16.0</v>
      </c>
      <c r="B17" s="5">
        <v>4.0</v>
      </c>
      <c r="C17" s="5" t="s">
        <v>29</v>
      </c>
      <c r="D17" s="5" t="s">
        <v>32</v>
      </c>
      <c r="E17" s="5" t="s">
        <v>219</v>
      </c>
      <c r="F17" s="5" t="s">
        <v>105</v>
      </c>
      <c r="G17" s="5" t="s">
        <v>292</v>
      </c>
      <c r="H17" s="6" t="s">
        <v>296</v>
      </c>
      <c r="I17" s="6" t="s">
        <v>298</v>
      </c>
      <c r="J17" s="6" t="s">
        <v>301</v>
      </c>
      <c r="K17" s="6" t="s">
        <v>304</v>
      </c>
      <c r="L17" s="5" t="s">
        <v>117</v>
      </c>
      <c r="M17" s="5" t="s">
        <v>54</v>
      </c>
    </row>
    <row r="18">
      <c r="A18" s="5">
        <v>17.0</v>
      </c>
      <c r="B18" s="5">
        <v>4.0</v>
      </c>
      <c r="C18" s="5" t="s">
        <v>29</v>
      </c>
      <c r="D18" s="5" t="s">
        <v>56</v>
      </c>
      <c r="E18" s="5" t="s">
        <v>130</v>
      </c>
      <c r="F18" s="5" t="s">
        <v>72</v>
      </c>
      <c r="G18" s="5" t="s">
        <v>82</v>
      </c>
      <c r="H18" s="6" t="s">
        <v>310</v>
      </c>
      <c r="I18" s="6" t="s">
        <v>312</v>
      </c>
      <c r="J18" s="6" t="s">
        <v>68</v>
      </c>
      <c r="K18" s="6" t="s">
        <v>315</v>
      </c>
      <c r="L18" s="5" t="s">
        <v>67</v>
      </c>
      <c r="M18" s="5" t="s">
        <v>54</v>
      </c>
    </row>
    <row r="19">
      <c r="A19" s="5">
        <v>18.0</v>
      </c>
      <c r="B19" s="5">
        <v>4.0</v>
      </c>
      <c r="C19" s="5" t="s">
        <v>29</v>
      </c>
      <c r="D19" s="5" t="s">
        <v>55</v>
      </c>
      <c r="E19" s="5" t="s">
        <v>58</v>
      </c>
      <c r="F19" s="5" t="s">
        <v>132</v>
      </c>
      <c r="G19" s="5" t="s">
        <v>326</v>
      </c>
      <c r="H19" s="6" t="s">
        <v>329</v>
      </c>
      <c r="I19" s="6" t="s">
        <v>331</v>
      </c>
      <c r="J19" s="6" t="s">
        <v>332</v>
      </c>
      <c r="K19" s="6" t="s">
        <v>333</v>
      </c>
      <c r="L19" s="5" t="s">
        <v>70</v>
      </c>
      <c r="M19" s="5" t="s">
        <v>54</v>
      </c>
    </row>
    <row r="20">
      <c r="A20" s="5">
        <v>19.0</v>
      </c>
      <c r="B20" s="5">
        <v>5.0</v>
      </c>
      <c r="C20" s="5" t="s">
        <v>29</v>
      </c>
      <c r="D20" s="5" t="s">
        <v>32</v>
      </c>
      <c r="E20" s="5" t="s">
        <v>219</v>
      </c>
      <c r="F20" s="5" t="s">
        <v>245</v>
      </c>
      <c r="G20" s="5" t="s">
        <v>61</v>
      </c>
      <c r="H20" s="6" t="s">
        <v>346</v>
      </c>
      <c r="I20" s="6" t="s">
        <v>349</v>
      </c>
      <c r="J20" s="6" t="s">
        <v>353</v>
      </c>
      <c r="K20" s="6" t="s">
        <v>47</v>
      </c>
      <c r="L20" s="5" t="s">
        <v>184</v>
      </c>
      <c r="M20" s="5" t="s">
        <v>54</v>
      </c>
    </row>
    <row r="21" ht="15.75" customHeight="1">
      <c r="A21" s="5">
        <v>20.0</v>
      </c>
      <c r="B21" s="5">
        <v>5.0</v>
      </c>
      <c r="C21" s="5" t="s">
        <v>29</v>
      </c>
      <c r="D21" s="5" t="s">
        <v>56</v>
      </c>
      <c r="E21" s="5" t="s">
        <v>130</v>
      </c>
      <c r="F21" s="5" t="s">
        <v>245</v>
      </c>
      <c r="G21" s="5" t="s">
        <v>134</v>
      </c>
      <c r="H21" s="6" t="s">
        <v>360</v>
      </c>
      <c r="I21" s="6" t="s">
        <v>361</v>
      </c>
      <c r="J21" s="6" t="s">
        <v>364</v>
      </c>
      <c r="K21" s="6" t="s">
        <v>368</v>
      </c>
      <c r="L21" s="5" t="s">
        <v>70</v>
      </c>
      <c r="M21" s="5" t="s">
        <v>54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21">
    <cfRule type="expression" dxfId="0" priority="1">
      <formula>ISNUMBER(SEARCH("planned",M2))</formula>
    </cfRule>
  </conditionalFormatting>
  <conditionalFormatting sqref="M2:M21">
    <cfRule type="expression" dxfId="1" priority="2">
      <formula>ISNUMBER(SEARCH("approved",M2))</formula>
    </cfRule>
  </conditionalFormatting>
  <conditionalFormatting sqref="M2:M21">
    <cfRule type="expression" dxfId="2" priority="3">
      <formula>ISNUMBER(SEARCH("published",M2))</formula>
    </cfRule>
  </conditionalFormatting>
  <conditionalFormatting sqref="M2:M21">
    <cfRule type="expression" dxfId="3" priority="4">
      <formula>ISNUMBER(SEARCH("draft",M2))</formula>
    </cfRule>
  </conditionalFormatting>
  <conditionalFormatting sqref="M2:M21">
    <cfRule type="expression" dxfId="4" priority="5">
      <formula>ISNUMBER(SEARCH("revision",M2))</formula>
    </cfRule>
  </conditionalFormatting>
  <dataValidations>
    <dataValidation type="list" allowBlank="1" sqref="M2:M21">
      <formula1>"Planned,Published"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7.0"/>
    <col customWidth="1" min="3" max="3" width="21.14"/>
    <col customWidth="1" min="4" max="4" width="10.0"/>
    <col customWidth="1" min="5" max="5" width="16.0"/>
    <col customWidth="1" min="6" max="6" width="23.14"/>
    <col customWidth="1" min="7" max="7" width="22.86"/>
    <col customWidth="1" min="8" max="8" width="37.71"/>
    <col customWidth="1" min="9" max="9" width="47.43"/>
    <col customWidth="1" min="10" max="10" width="22.0"/>
    <col customWidth="1" min="11" max="11" width="25.14"/>
    <col customWidth="1" min="12" max="12" width="23.43"/>
    <col customWidth="1" min="13" max="13" width="31.86"/>
    <col customWidth="1" min="14" max="26" width="8.71"/>
  </cols>
  <sheetData>
    <row r="1" ht="19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16</v>
      </c>
      <c r="K1" s="1" t="s">
        <v>18</v>
      </c>
      <c r="L1" s="1" t="s">
        <v>21</v>
      </c>
      <c r="M1" s="1" t="s">
        <v>23</v>
      </c>
    </row>
    <row r="2">
      <c r="A2" s="5">
        <v>1.0</v>
      </c>
      <c r="B2" s="5">
        <v>1.0</v>
      </c>
      <c r="C2" s="5" t="s">
        <v>29</v>
      </c>
      <c r="D2" s="5" t="s">
        <v>32</v>
      </c>
      <c r="E2" s="5" t="s">
        <v>35</v>
      </c>
      <c r="F2" s="5" t="s">
        <v>36</v>
      </c>
      <c r="G2" s="5" t="s">
        <v>38</v>
      </c>
      <c r="H2" s="6" t="s">
        <v>39</v>
      </c>
      <c r="I2" s="6" t="s">
        <v>43</v>
      </c>
      <c r="J2" s="6" t="s">
        <v>44</v>
      </c>
      <c r="K2" s="6" t="s">
        <v>47</v>
      </c>
      <c r="L2" s="5" t="s">
        <v>49</v>
      </c>
      <c r="M2" s="5" t="s">
        <v>54</v>
      </c>
    </row>
    <row r="3">
      <c r="A3" s="5">
        <v>2.0</v>
      </c>
      <c r="B3" s="5">
        <v>1.0</v>
      </c>
      <c r="C3" s="5" t="s">
        <v>29</v>
      </c>
      <c r="D3" s="5" t="s">
        <v>55</v>
      </c>
      <c r="E3" s="5" t="s">
        <v>57</v>
      </c>
      <c r="F3" s="5" t="s">
        <v>36</v>
      </c>
      <c r="G3" s="5" t="s">
        <v>59</v>
      </c>
      <c r="H3" s="6" t="s">
        <v>60</v>
      </c>
      <c r="I3" s="6" t="s">
        <v>62</v>
      </c>
      <c r="J3" s="6" t="s">
        <v>64</v>
      </c>
      <c r="K3" s="6" t="s">
        <v>66</v>
      </c>
      <c r="L3" s="5" t="s">
        <v>67</v>
      </c>
      <c r="M3" s="5" t="s">
        <v>54</v>
      </c>
    </row>
    <row r="4">
      <c r="A4" s="5">
        <v>3.0</v>
      </c>
      <c r="B4" s="5">
        <v>1.0</v>
      </c>
      <c r="C4" s="5" t="s">
        <v>29</v>
      </c>
      <c r="D4" s="5" t="s">
        <v>56</v>
      </c>
      <c r="E4" s="5" t="s">
        <v>35</v>
      </c>
      <c r="F4" s="5" t="s">
        <v>72</v>
      </c>
      <c r="G4" s="5" t="s">
        <v>74</v>
      </c>
      <c r="H4" s="6" t="s">
        <v>76</v>
      </c>
      <c r="I4" s="6" t="s">
        <v>79</v>
      </c>
      <c r="J4" s="6" t="s">
        <v>81</v>
      </c>
      <c r="K4" s="6" t="s">
        <v>84</v>
      </c>
      <c r="L4" s="5" t="s">
        <v>53</v>
      </c>
      <c r="M4" s="5" t="s">
        <v>54</v>
      </c>
    </row>
    <row r="5">
      <c r="A5" s="5">
        <v>4.0</v>
      </c>
      <c r="B5" s="5">
        <v>1.0</v>
      </c>
      <c r="C5" s="5" t="s">
        <v>29</v>
      </c>
      <c r="D5" s="5" t="s">
        <v>32</v>
      </c>
      <c r="E5" s="5" t="s">
        <v>35</v>
      </c>
      <c r="F5" s="5" t="s">
        <v>36</v>
      </c>
      <c r="G5" s="5" t="s">
        <v>96</v>
      </c>
      <c r="H5" s="6" t="s">
        <v>98</v>
      </c>
      <c r="I5" s="6" t="s">
        <v>100</v>
      </c>
      <c r="J5" s="6" t="s">
        <v>103</v>
      </c>
      <c r="K5" s="6" t="s">
        <v>106</v>
      </c>
      <c r="L5" s="5" t="s">
        <v>49</v>
      </c>
      <c r="M5" s="5" t="s">
        <v>54</v>
      </c>
    </row>
    <row r="6">
      <c r="A6" s="5">
        <v>5.0</v>
      </c>
      <c r="B6" s="5">
        <v>1.0</v>
      </c>
      <c r="C6" s="5" t="s">
        <v>29</v>
      </c>
      <c r="D6" s="5" t="s">
        <v>55</v>
      </c>
      <c r="E6" s="5" t="s">
        <v>35</v>
      </c>
      <c r="F6" s="5" t="s">
        <v>72</v>
      </c>
      <c r="G6" s="5" t="s">
        <v>122</v>
      </c>
      <c r="H6" s="6" t="s">
        <v>123</v>
      </c>
      <c r="I6" s="6" t="s">
        <v>125</v>
      </c>
      <c r="J6" s="6" t="s">
        <v>127</v>
      </c>
      <c r="K6" s="6" t="s">
        <v>128</v>
      </c>
      <c r="L6" s="5" t="s">
        <v>131</v>
      </c>
      <c r="M6" s="5" t="s">
        <v>54</v>
      </c>
    </row>
    <row r="7">
      <c r="A7" s="5">
        <v>6.0</v>
      </c>
      <c r="B7" s="5">
        <v>1.0</v>
      </c>
      <c r="C7" s="5" t="s">
        <v>29</v>
      </c>
      <c r="D7" s="5" t="s">
        <v>32</v>
      </c>
      <c r="E7" s="5" t="s">
        <v>35</v>
      </c>
      <c r="F7" s="5" t="s">
        <v>105</v>
      </c>
      <c r="G7" s="5" t="s">
        <v>122</v>
      </c>
      <c r="H7" s="6" t="s">
        <v>141</v>
      </c>
      <c r="I7" s="6" t="s">
        <v>143</v>
      </c>
      <c r="J7" s="6" t="s">
        <v>145</v>
      </c>
      <c r="K7" s="6" t="s">
        <v>146</v>
      </c>
      <c r="L7" s="5" t="s">
        <v>53</v>
      </c>
      <c r="M7" s="5" t="s">
        <v>54</v>
      </c>
    </row>
    <row r="8">
      <c r="A8" s="5">
        <v>7.0</v>
      </c>
      <c r="B8" s="5">
        <v>1.0</v>
      </c>
      <c r="C8" s="5" t="s">
        <v>29</v>
      </c>
      <c r="D8" s="5" t="s">
        <v>56</v>
      </c>
      <c r="E8" s="5" t="s">
        <v>57</v>
      </c>
      <c r="F8" s="5" t="s">
        <v>105</v>
      </c>
      <c r="G8" s="5" t="s">
        <v>149</v>
      </c>
      <c r="H8" s="6" t="s">
        <v>152</v>
      </c>
      <c r="I8" s="6" t="s">
        <v>153</v>
      </c>
      <c r="J8" s="6" t="s">
        <v>154</v>
      </c>
      <c r="K8" s="6" t="s">
        <v>155</v>
      </c>
      <c r="L8" s="5" t="s">
        <v>117</v>
      </c>
      <c r="M8" s="5" t="s">
        <v>54</v>
      </c>
    </row>
    <row r="9">
      <c r="A9" s="5">
        <v>8.0</v>
      </c>
      <c r="B9" s="5">
        <v>2.0</v>
      </c>
      <c r="C9" s="5" t="s">
        <v>29</v>
      </c>
      <c r="D9" s="5" t="s">
        <v>55</v>
      </c>
      <c r="E9" s="5" t="s">
        <v>57</v>
      </c>
      <c r="F9" s="5" t="s">
        <v>78</v>
      </c>
      <c r="G9" s="5" t="s">
        <v>158</v>
      </c>
      <c r="H9" s="6" t="s">
        <v>159</v>
      </c>
      <c r="I9" s="6" t="s">
        <v>160</v>
      </c>
      <c r="J9" s="6" t="s">
        <v>161</v>
      </c>
      <c r="K9" s="6" t="s">
        <v>163</v>
      </c>
      <c r="L9" s="5" t="s">
        <v>67</v>
      </c>
      <c r="M9" s="5" t="s">
        <v>54</v>
      </c>
    </row>
    <row r="10">
      <c r="A10" s="5">
        <v>9.0</v>
      </c>
      <c r="B10" s="5">
        <v>2.0</v>
      </c>
      <c r="C10" s="5" t="s">
        <v>29</v>
      </c>
      <c r="D10" s="5" t="s">
        <v>32</v>
      </c>
      <c r="E10" s="5" t="s">
        <v>35</v>
      </c>
      <c r="F10" s="5" t="s">
        <v>105</v>
      </c>
      <c r="G10" s="5" t="s">
        <v>167</v>
      </c>
      <c r="H10" s="6" t="s">
        <v>168</v>
      </c>
      <c r="I10" s="6" t="s">
        <v>170</v>
      </c>
      <c r="J10" s="6" t="s">
        <v>171</v>
      </c>
      <c r="K10" s="6" t="s">
        <v>172</v>
      </c>
      <c r="L10" s="5" t="s">
        <v>173</v>
      </c>
      <c r="M10" s="5" t="s">
        <v>54</v>
      </c>
    </row>
    <row r="11">
      <c r="A11" s="5">
        <v>10.0</v>
      </c>
      <c r="B11" s="5">
        <v>2.0</v>
      </c>
      <c r="C11" s="5" t="s">
        <v>29</v>
      </c>
      <c r="D11" s="5" t="s">
        <v>55</v>
      </c>
      <c r="E11" s="5" t="s">
        <v>35</v>
      </c>
      <c r="F11" s="5" t="s">
        <v>132</v>
      </c>
      <c r="G11" s="5" t="s">
        <v>178</v>
      </c>
      <c r="H11" s="6" t="s">
        <v>180</v>
      </c>
      <c r="I11" s="6" t="s">
        <v>182</v>
      </c>
      <c r="J11" s="6" t="s">
        <v>183</v>
      </c>
      <c r="K11" s="6" t="s">
        <v>185</v>
      </c>
      <c r="L11" s="5" t="s">
        <v>186</v>
      </c>
      <c r="M11" s="5" t="s">
        <v>54</v>
      </c>
    </row>
    <row r="12">
      <c r="A12" s="5">
        <v>11.0</v>
      </c>
      <c r="B12" s="5">
        <v>2.0</v>
      </c>
      <c r="C12" s="5" t="s">
        <v>29</v>
      </c>
      <c r="D12" s="5" t="s">
        <v>56</v>
      </c>
      <c r="E12" s="5" t="s">
        <v>35</v>
      </c>
      <c r="F12" s="5" t="s">
        <v>132</v>
      </c>
      <c r="G12" s="5" t="s">
        <v>134</v>
      </c>
      <c r="H12" s="6" t="s">
        <v>187</v>
      </c>
      <c r="I12" s="6" t="s">
        <v>189</v>
      </c>
      <c r="J12" s="6" t="s">
        <v>190</v>
      </c>
      <c r="K12" s="6" t="s">
        <v>191</v>
      </c>
      <c r="L12" s="5" t="s">
        <v>192</v>
      </c>
      <c r="M12" s="5" t="s">
        <v>54</v>
      </c>
    </row>
    <row r="13">
      <c r="A13" s="5">
        <v>12.0</v>
      </c>
      <c r="B13" s="5">
        <v>2.0</v>
      </c>
      <c r="C13" s="5" t="s">
        <v>29</v>
      </c>
      <c r="D13" s="5" t="s">
        <v>32</v>
      </c>
      <c r="E13" s="5" t="s">
        <v>35</v>
      </c>
      <c r="F13" s="5" t="s">
        <v>72</v>
      </c>
      <c r="G13" s="5" t="s">
        <v>199</v>
      </c>
      <c r="H13" s="6" t="s">
        <v>200</v>
      </c>
      <c r="I13" s="6" t="s">
        <v>201</v>
      </c>
      <c r="J13" s="6" t="s">
        <v>202</v>
      </c>
      <c r="K13" s="6" t="s">
        <v>203</v>
      </c>
      <c r="L13" s="5" t="s">
        <v>173</v>
      </c>
      <c r="M13" s="5" t="s">
        <v>54</v>
      </c>
    </row>
    <row r="14">
      <c r="A14" s="5">
        <v>13.0</v>
      </c>
      <c r="B14" s="5">
        <v>2.0</v>
      </c>
      <c r="C14" s="5" t="s">
        <v>29</v>
      </c>
      <c r="D14" s="5" t="s">
        <v>55</v>
      </c>
      <c r="E14" s="5" t="s">
        <v>57</v>
      </c>
      <c r="F14" s="5" t="s">
        <v>78</v>
      </c>
      <c r="G14" s="5" t="s">
        <v>82</v>
      </c>
      <c r="H14" s="6" t="s">
        <v>205</v>
      </c>
      <c r="I14" s="6" t="s">
        <v>207</v>
      </c>
      <c r="J14" s="6" t="s">
        <v>209</v>
      </c>
      <c r="K14" s="6" t="s">
        <v>210</v>
      </c>
      <c r="L14" s="5" t="s">
        <v>166</v>
      </c>
      <c r="M14" s="5" t="s">
        <v>54</v>
      </c>
    </row>
    <row r="15">
      <c r="A15" s="5">
        <v>14.0</v>
      </c>
      <c r="B15" s="5">
        <v>2.0</v>
      </c>
      <c r="C15" s="5" t="s">
        <v>29</v>
      </c>
      <c r="D15" s="5" t="s">
        <v>32</v>
      </c>
      <c r="E15" s="5" t="s">
        <v>35</v>
      </c>
      <c r="F15" s="5" t="s">
        <v>72</v>
      </c>
      <c r="G15" s="5" t="s">
        <v>215</v>
      </c>
      <c r="H15" s="6" t="s">
        <v>216</v>
      </c>
      <c r="I15" s="6" t="s">
        <v>217</v>
      </c>
      <c r="J15" s="6" t="s">
        <v>218</v>
      </c>
      <c r="K15" s="6" t="s">
        <v>220</v>
      </c>
      <c r="L15" s="5" t="s">
        <v>49</v>
      </c>
      <c r="M15" s="5" t="s">
        <v>54</v>
      </c>
    </row>
    <row r="16">
      <c r="A16" s="5">
        <v>15.0</v>
      </c>
      <c r="B16" s="5">
        <v>3.0</v>
      </c>
      <c r="C16" s="5" t="s">
        <v>29</v>
      </c>
      <c r="D16" s="5" t="s">
        <v>55</v>
      </c>
      <c r="E16" s="5" t="s">
        <v>35</v>
      </c>
      <c r="F16" s="5" t="s">
        <v>132</v>
      </c>
      <c r="G16" s="5" t="s">
        <v>226</v>
      </c>
      <c r="H16" s="6" t="s">
        <v>227</v>
      </c>
      <c r="I16" s="6" t="s">
        <v>228</v>
      </c>
      <c r="J16" s="6" t="s">
        <v>229</v>
      </c>
      <c r="K16" s="6" t="s">
        <v>230</v>
      </c>
      <c r="L16" s="5" t="s">
        <v>186</v>
      </c>
      <c r="M16" s="5" t="s">
        <v>54</v>
      </c>
    </row>
    <row r="17">
      <c r="A17" s="5">
        <v>16.0</v>
      </c>
      <c r="B17" s="5">
        <v>3.0</v>
      </c>
      <c r="C17" s="5" t="s">
        <v>29</v>
      </c>
      <c r="D17" s="5" t="s">
        <v>56</v>
      </c>
      <c r="E17" s="5" t="s">
        <v>57</v>
      </c>
      <c r="F17" s="5" t="s">
        <v>105</v>
      </c>
      <c r="G17" s="5" t="s">
        <v>235</v>
      </c>
      <c r="H17" s="6" t="s">
        <v>237</v>
      </c>
      <c r="I17" s="6" t="s">
        <v>238</v>
      </c>
      <c r="J17" s="6" t="s">
        <v>241</v>
      </c>
      <c r="K17" s="6" t="s">
        <v>243</v>
      </c>
      <c r="L17" s="5" t="s">
        <v>117</v>
      </c>
      <c r="M17" s="5" t="s">
        <v>54</v>
      </c>
    </row>
    <row r="18">
      <c r="A18" s="5">
        <v>17.0</v>
      </c>
      <c r="B18" s="5">
        <v>3.0</v>
      </c>
      <c r="C18" s="5" t="s">
        <v>29</v>
      </c>
      <c r="D18" s="5" t="s">
        <v>32</v>
      </c>
      <c r="E18" s="5" t="s">
        <v>35</v>
      </c>
      <c r="F18" s="5" t="s">
        <v>245</v>
      </c>
      <c r="G18" s="5" t="s">
        <v>246</v>
      </c>
      <c r="H18" s="6" t="s">
        <v>247</v>
      </c>
      <c r="I18" s="6" t="s">
        <v>248</v>
      </c>
      <c r="J18" s="6" t="s">
        <v>249</v>
      </c>
      <c r="K18" s="6" t="s">
        <v>250</v>
      </c>
      <c r="L18" s="5" t="s">
        <v>49</v>
      </c>
      <c r="M18" s="5" t="s">
        <v>54</v>
      </c>
    </row>
    <row r="19">
      <c r="A19" s="5">
        <v>18.0</v>
      </c>
      <c r="B19" s="5">
        <v>3.0</v>
      </c>
      <c r="C19" s="5" t="s">
        <v>29</v>
      </c>
      <c r="D19" s="5" t="s">
        <v>55</v>
      </c>
      <c r="E19" s="5" t="s">
        <v>57</v>
      </c>
      <c r="F19" s="5" t="s">
        <v>78</v>
      </c>
      <c r="G19" s="5" t="s">
        <v>256</v>
      </c>
      <c r="H19" s="6" t="s">
        <v>257</v>
      </c>
      <c r="I19" s="6" t="s">
        <v>258</v>
      </c>
      <c r="J19" s="6" t="s">
        <v>259</v>
      </c>
      <c r="K19" s="6" t="s">
        <v>260</v>
      </c>
      <c r="L19" s="5" t="s">
        <v>67</v>
      </c>
      <c r="M19" s="5" t="s">
        <v>54</v>
      </c>
    </row>
    <row r="20">
      <c r="A20" s="5">
        <v>19.0</v>
      </c>
      <c r="B20" s="5">
        <v>3.0</v>
      </c>
      <c r="C20" s="5" t="s">
        <v>29</v>
      </c>
      <c r="D20" s="5" t="s">
        <v>32</v>
      </c>
      <c r="E20" s="5" t="s">
        <v>35</v>
      </c>
      <c r="F20" s="5" t="s">
        <v>132</v>
      </c>
      <c r="G20" s="5" t="s">
        <v>263</v>
      </c>
      <c r="H20" s="6" t="s">
        <v>265</v>
      </c>
      <c r="I20" s="6" t="s">
        <v>266</v>
      </c>
      <c r="J20" s="6" t="s">
        <v>215</v>
      </c>
      <c r="K20" s="6" t="s">
        <v>269</v>
      </c>
      <c r="L20" s="5" t="s">
        <v>186</v>
      </c>
      <c r="M20" s="5" t="s">
        <v>54</v>
      </c>
    </row>
    <row r="21" ht="15.75" customHeight="1">
      <c r="A21" s="5">
        <v>20.0</v>
      </c>
      <c r="B21" s="5">
        <v>3.0</v>
      </c>
      <c r="C21" s="5" t="s">
        <v>29</v>
      </c>
      <c r="D21" s="5" t="s">
        <v>55</v>
      </c>
      <c r="E21" s="5" t="s">
        <v>35</v>
      </c>
      <c r="F21" s="5" t="s">
        <v>132</v>
      </c>
      <c r="G21" s="5" t="s">
        <v>270</v>
      </c>
      <c r="H21" s="6" t="s">
        <v>271</v>
      </c>
      <c r="I21" s="6" t="s">
        <v>272</v>
      </c>
      <c r="J21" s="6" t="s">
        <v>270</v>
      </c>
      <c r="K21" s="6" t="s">
        <v>260</v>
      </c>
      <c r="L21" s="5" t="s">
        <v>173</v>
      </c>
      <c r="M21" s="5" t="s">
        <v>54</v>
      </c>
    </row>
    <row r="22" ht="15.75" customHeight="1">
      <c r="A22" s="5">
        <v>21.0</v>
      </c>
      <c r="B22" s="5">
        <v>3.0</v>
      </c>
      <c r="C22" s="5" t="s">
        <v>29</v>
      </c>
      <c r="D22" s="5" t="s">
        <v>56</v>
      </c>
      <c r="E22" s="5" t="s">
        <v>35</v>
      </c>
      <c r="F22" s="5" t="s">
        <v>245</v>
      </c>
      <c r="G22" s="5" t="s">
        <v>278</v>
      </c>
      <c r="H22" s="6" t="s">
        <v>279</v>
      </c>
      <c r="I22" s="6" t="s">
        <v>280</v>
      </c>
      <c r="J22" s="6" t="s">
        <v>278</v>
      </c>
      <c r="K22" s="6" t="s">
        <v>281</v>
      </c>
      <c r="L22" s="5" t="s">
        <v>49</v>
      </c>
      <c r="M22" s="5" t="s">
        <v>54</v>
      </c>
    </row>
    <row r="23" ht="15.75" customHeight="1">
      <c r="A23" s="5">
        <v>22.0</v>
      </c>
      <c r="B23" s="5">
        <v>4.0</v>
      </c>
      <c r="C23" s="5" t="s">
        <v>29</v>
      </c>
      <c r="D23" s="5" t="s">
        <v>32</v>
      </c>
      <c r="E23" s="5" t="s">
        <v>35</v>
      </c>
      <c r="F23" s="5" t="s">
        <v>105</v>
      </c>
      <c r="G23" s="5" t="s">
        <v>283</v>
      </c>
      <c r="H23" s="6" t="s">
        <v>284</v>
      </c>
      <c r="I23" s="6" t="s">
        <v>286</v>
      </c>
      <c r="J23" s="6" t="s">
        <v>287</v>
      </c>
      <c r="K23" s="6" t="s">
        <v>288</v>
      </c>
      <c r="L23" s="5" t="s">
        <v>173</v>
      </c>
      <c r="M23" s="5" t="s">
        <v>54</v>
      </c>
    </row>
    <row r="24" ht="15.75" customHeight="1">
      <c r="A24" s="5">
        <v>23.0</v>
      </c>
      <c r="B24" s="5">
        <v>4.0</v>
      </c>
      <c r="C24" s="5" t="s">
        <v>29</v>
      </c>
      <c r="D24" s="5" t="s">
        <v>55</v>
      </c>
      <c r="E24" s="5" t="s">
        <v>57</v>
      </c>
      <c r="F24" s="5" t="s">
        <v>105</v>
      </c>
      <c r="G24" s="5" t="s">
        <v>291</v>
      </c>
      <c r="H24" s="6" t="s">
        <v>293</v>
      </c>
      <c r="I24" s="6" t="s">
        <v>295</v>
      </c>
      <c r="J24" s="6" t="s">
        <v>299</v>
      </c>
      <c r="K24" s="6" t="s">
        <v>302</v>
      </c>
      <c r="L24" s="5" t="s">
        <v>67</v>
      </c>
      <c r="M24" s="5" t="s">
        <v>54</v>
      </c>
    </row>
    <row r="25" ht="15.75" customHeight="1">
      <c r="A25" s="5">
        <v>24.0</v>
      </c>
      <c r="B25" s="5">
        <v>4.0</v>
      </c>
      <c r="C25" s="5" t="s">
        <v>29</v>
      </c>
      <c r="D25" s="5" t="s">
        <v>32</v>
      </c>
      <c r="E25" s="5" t="s">
        <v>35</v>
      </c>
      <c r="F25" s="5" t="s">
        <v>72</v>
      </c>
      <c r="G25" s="5" t="s">
        <v>307</v>
      </c>
      <c r="H25" s="6" t="s">
        <v>308</v>
      </c>
      <c r="I25" s="6" t="s">
        <v>309</v>
      </c>
      <c r="J25" s="6" t="s">
        <v>307</v>
      </c>
      <c r="K25" s="6" t="s">
        <v>311</v>
      </c>
      <c r="L25" s="5" t="s">
        <v>131</v>
      </c>
      <c r="M25" s="5" t="s">
        <v>54</v>
      </c>
    </row>
    <row r="26" ht="15.75" customHeight="1">
      <c r="A26" s="5">
        <v>25.0</v>
      </c>
      <c r="B26" s="5">
        <v>4.0</v>
      </c>
      <c r="C26" s="5" t="s">
        <v>29</v>
      </c>
      <c r="D26" s="5" t="s">
        <v>55</v>
      </c>
      <c r="E26" s="5" t="s">
        <v>35</v>
      </c>
      <c r="F26" s="5" t="s">
        <v>132</v>
      </c>
      <c r="G26" s="5" t="s">
        <v>319</v>
      </c>
      <c r="H26" s="6" t="s">
        <v>320</v>
      </c>
      <c r="I26" s="6" t="s">
        <v>321</v>
      </c>
      <c r="J26" s="6" t="s">
        <v>322</v>
      </c>
      <c r="K26" s="6" t="s">
        <v>323</v>
      </c>
      <c r="L26" s="5" t="s">
        <v>173</v>
      </c>
      <c r="M26" s="5" t="s">
        <v>54</v>
      </c>
    </row>
    <row r="27" ht="15.75" customHeight="1">
      <c r="A27" s="5">
        <v>26.0</v>
      </c>
      <c r="B27" s="5">
        <v>4.0</v>
      </c>
      <c r="C27" s="5" t="s">
        <v>29</v>
      </c>
      <c r="D27" s="5" t="s">
        <v>56</v>
      </c>
      <c r="E27" s="5" t="s">
        <v>35</v>
      </c>
      <c r="F27" s="5" t="s">
        <v>132</v>
      </c>
      <c r="G27" s="5" t="s">
        <v>334</v>
      </c>
      <c r="H27" s="6" t="s">
        <v>335</v>
      </c>
      <c r="I27" s="6" t="s">
        <v>336</v>
      </c>
      <c r="J27" s="6" t="s">
        <v>337</v>
      </c>
      <c r="K27" s="6" t="s">
        <v>243</v>
      </c>
      <c r="L27" s="5" t="s">
        <v>186</v>
      </c>
      <c r="M27" s="5" t="s">
        <v>54</v>
      </c>
    </row>
    <row r="28" ht="15.75" customHeight="1">
      <c r="A28" s="5">
        <v>27.0</v>
      </c>
      <c r="B28" s="5">
        <v>4.0</v>
      </c>
      <c r="C28" s="5" t="s">
        <v>29</v>
      </c>
      <c r="D28" s="5" t="s">
        <v>32</v>
      </c>
      <c r="E28" s="5" t="s">
        <v>57</v>
      </c>
      <c r="F28" s="5" t="s">
        <v>105</v>
      </c>
      <c r="G28" s="5" t="s">
        <v>343</v>
      </c>
      <c r="H28" s="6" t="s">
        <v>345</v>
      </c>
      <c r="I28" s="6" t="s">
        <v>347</v>
      </c>
      <c r="J28" s="6" t="s">
        <v>350</v>
      </c>
      <c r="K28" s="6" t="s">
        <v>352</v>
      </c>
      <c r="L28" s="5" t="s">
        <v>117</v>
      </c>
      <c r="M28" s="5" t="s">
        <v>54</v>
      </c>
    </row>
    <row r="29" ht="15.75" customHeight="1">
      <c r="A29" s="5">
        <v>28.0</v>
      </c>
      <c r="B29" s="5">
        <v>4.0</v>
      </c>
      <c r="C29" s="5" t="s">
        <v>29</v>
      </c>
      <c r="D29" s="5" t="s">
        <v>55</v>
      </c>
      <c r="E29" s="5" t="s">
        <v>35</v>
      </c>
      <c r="F29" s="5" t="s">
        <v>245</v>
      </c>
      <c r="G29" s="5" t="s">
        <v>356</v>
      </c>
      <c r="H29" s="6" t="s">
        <v>357</v>
      </c>
      <c r="I29" s="6" t="s">
        <v>358</v>
      </c>
      <c r="J29" s="6" t="s">
        <v>359</v>
      </c>
      <c r="K29" s="6" t="s">
        <v>260</v>
      </c>
      <c r="L29" s="5" t="s">
        <v>49</v>
      </c>
      <c r="M29" s="5" t="s">
        <v>54</v>
      </c>
    </row>
    <row r="30" ht="15.75" customHeight="1">
      <c r="A30" s="5">
        <v>29.0</v>
      </c>
      <c r="B30" s="5">
        <v>5.0</v>
      </c>
      <c r="C30" s="5" t="s">
        <v>29</v>
      </c>
      <c r="D30" s="5" t="s">
        <v>32</v>
      </c>
      <c r="E30" s="5" t="s">
        <v>35</v>
      </c>
      <c r="F30" s="5" t="s">
        <v>245</v>
      </c>
      <c r="G30" s="5" t="s">
        <v>362</v>
      </c>
      <c r="H30" s="6" t="s">
        <v>365</v>
      </c>
      <c r="I30" s="6" t="s">
        <v>369</v>
      </c>
      <c r="J30" s="6" t="s">
        <v>372</v>
      </c>
      <c r="K30" s="6" t="s">
        <v>373</v>
      </c>
      <c r="L30" s="5" t="s">
        <v>173</v>
      </c>
      <c r="M30" s="5" t="s">
        <v>54</v>
      </c>
    </row>
    <row r="31" ht="15.75" customHeight="1">
      <c r="A31" s="5">
        <v>30.0</v>
      </c>
      <c r="B31" s="5">
        <v>5.0</v>
      </c>
      <c r="C31" s="5" t="s">
        <v>29</v>
      </c>
      <c r="D31" s="5" t="s">
        <v>55</v>
      </c>
      <c r="E31" s="5" t="s">
        <v>35</v>
      </c>
      <c r="F31" s="5" t="s">
        <v>245</v>
      </c>
      <c r="G31" s="5" t="s">
        <v>12</v>
      </c>
      <c r="H31" s="6" t="s">
        <v>380</v>
      </c>
      <c r="I31" s="6" t="s">
        <v>382</v>
      </c>
      <c r="J31" s="6" t="s">
        <v>383</v>
      </c>
      <c r="K31" s="6" t="s">
        <v>384</v>
      </c>
      <c r="L31" s="5" t="s">
        <v>49</v>
      </c>
      <c r="M31" s="5" t="s">
        <v>54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31">
    <cfRule type="expression" dxfId="0" priority="1">
      <formula>ISNUMBER(SEARCH("planned",M2))</formula>
    </cfRule>
  </conditionalFormatting>
  <conditionalFormatting sqref="M2:M31">
    <cfRule type="expression" dxfId="1" priority="2">
      <formula>ISNUMBER(SEARCH("approved",M2))</formula>
    </cfRule>
  </conditionalFormatting>
  <conditionalFormatting sqref="M2:M31">
    <cfRule type="expression" dxfId="2" priority="3">
      <formula>ISNUMBER(SEARCH("published",M2))</formula>
    </cfRule>
  </conditionalFormatting>
  <conditionalFormatting sqref="M2:M31">
    <cfRule type="expression" dxfId="3" priority="4">
      <formula>ISNUMBER(SEARCH("draft",M2))</formula>
    </cfRule>
  </conditionalFormatting>
  <conditionalFormatting sqref="M2:M31">
    <cfRule type="expression" dxfId="4" priority="5">
      <formula>ISNUMBER(SEARCH("revision",M2))</formula>
    </cfRule>
  </conditionalFormatting>
  <dataValidations>
    <dataValidation type="list" allowBlank="1" sqref="M2:M31">
      <formula1>"Planned,Published"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9.0"/>
    <col customWidth="1" min="3" max="4" width="22.0"/>
    <col customWidth="1" min="5" max="5" width="10.0"/>
    <col customWidth="1" min="6" max="6" width="26.0"/>
    <col customWidth="1" min="7" max="7" width="39.29"/>
    <col customWidth="1" min="8" max="8" width="23.71"/>
    <col customWidth="1" min="9" max="10" width="30.0"/>
    <col customWidth="1" min="11" max="26" width="8.71"/>
  </cols>
  <sheetData>
    <row r="1" ht="19.5" customHeight="1">
      <c r="A1" s="1" t="s">
        <v>2</v>
      </c>
      <c r="B1" s="1" t="s">
        <v>9</v>
      </c>
      <c r="C1" s="1" t="s">
        <v>12</v>
      </c>
      <c r="D1" s="1" t="s">
        <v>14</v>
      </c>
      <c r="E1" s="1" t="s">
        <v>4</v>
      </c>
      <c r="F1" s="1" t="s">
        <v>17</v>
      </c>
      <c r="G1" s="1" t="s">
        <v>20</v>
      </c>
      <c r="H1" s="1" t="s">
        <v>23</v>
      </c>
      <c r="I1" s="1" t="s">
        <v>24</v>
      </c>
      <c r="J1" s="1" t="s">
        <v>26</v>
      </c>
    </row>
    <row r="2">
      <c r="A2" s="5" t="s">
        <v>28</v>
      </c>
      <c r="B2" s="5" t="s">
        <v>31</v>
      </c>
      <c r="C2" s="6" t="s">
        <v>33</v>
      </c>
      <c r="D2" s="6" t="s">
        <v>41</v>
      </c>
      <c r="E2" s="5" t="s">
        <v>32</v>
      </c>
      <c r="F2" s="6" t="s">
        <v>46</v>
      </c>
      <c r="G2" s="8" t="s">
        <v>50</v>
      </c>
      <c r="H2" s="5" t="s">
        <v>71</v>
      </c>
      <c r="I2" s="5" t="s">
        <v>73</v>
      </c>
      <c r="J2" s="5" t="s">
        <v>75</v>
      </c>
    </row>
    <row r="3">
      <c r="A3" s="5" t="s">
        <v>28</v>
      </c>
      <c r="B3" s="5" t="s">
        <v>77</v>
      </c>
      <c r="C3" s="6" t="s">
        <v>80</v>
      </c>
      <c r="D3" s="6" t="s">
        <v>83</v>
      </c>
      <c r="E3" s="5" t="s">
        <v>55</v>
      </c>
      <c r="F3" s="6" t="s">
        <v>86</v>
      </c>
      <c r="G3" s="5" t="s">
        <v>87</v>
      </c>
      <c r="H3" s="5" t="s">
        <v>71</v>
      </c>
      <c r="I3" s="5"/>
      <c r="J3" s="5" t="s">
        <v>90</v>
      </c>
    </row>
    <row r="4">
      <c r="A4" s="5" t="s">
        <v>28</v>
      </c>
      <c r="B4" s="5" t="s">
        <v>92</v>
      </c>
      <c r="C4" s="6" t="s">
        <v>33</v>
      </c>
      <c r="D4" s="6" t="s">
        <v>93</v>
      </c>
      <c r="E4" s="5" t="s">
        <v>56</v>
      </c>
      <c r="F4" s="6" t="s">
        <v>94</v>
      </c>
      <c r="G4" s="5" t="s">
        <v>95</v>
      </c>
      <c r="H4" s="5" t="s">
        <v>71</v>
      </c>
      <c r="I4" s="5" t="s">
        <v>97</v>
      </c>
      <c r="J4" s="5" t="s">
        <v>99</v>
      </c>
    </row>
    <row r="5">
      <c r="A5" s="5" t="s">
        <v>102</v>
      </c>
      <c r="B5" s="5" t="s">
        <v>104</v>
      </c>
      <c r="C5" s="6" t="s">
        <v>80</v>
      </c>
      <c r="D5" s="6" t="s">
        <v>108</v>
      </c>
      <c r="E5" s="5" t="s">
        <v>55</v>
      </c>
      <c r="F5" s="6" t="s">
        <v>110</v>
      </c>
      <c r="G5" s="5" t="s">
        <v>111</v>
      </c>
      <c r="H5" s="5" t="s">
        <v>71</v>
      </c>
      <c r="I5" s="5" t="s">
        <v>114</v>
      </c>
      <c r="J5" s="5" t="s">
        <v>115</v>
      </c>
    </row>
    <row r="6">
      <c r="A6" s="5" t="s">
        <v>102</v>
      </c>
      <c r="B6" s="5" t="s">
        <v>118</v>
      </c>
      <c r="C6" s="6" t="s">
        <v>119</v>
      </c>
      <c r="D6" s="6" t="s">
        <v>120</v>
      </c>
      <c r="E6" s="5" t="s">
        <v>55</v>
      </c>
      <c r="F6" s="6" t="s">
        <v>121</v>
      </c>
      <c r="G6" s="5"/>
      <c r="H6" s="5" t="s">
        <v>71</v>
      </c>
      <c r="I6" s="5"/>
      <c r="J6" s="5" t="s">
        <v>126</v>
      </c>
    </row>
    <row r="7">
      <c r="A7" s="5" t="s">
        <v>102</v>
      </c>
      <c r="B7" s="5" t="s">
        <v>129</v>
      </c>
      <c r="C7" s="6" t="s">
        <v>33</v>
      </c>
      <c r="D7" s="6" t="s">
        <v>133</v>
      </c>
      <c r="E7" s="5" t="s">
        <v>56</v>
      </c>
      <c r="F7" s="6" t="s">
        <v>135</v>
      </c>
      <c r="G7" s="5" t="s">
        <v>136</v>
      </c>
      <c r="H7" s="5" t="s">
        <v>71</v>
      </c>
      <c r="I7" s="5"/>
      <c r="J7" s="5" t="s">
        <v>140</v>
      </c>
    </row>
    <row r="8">
      <c r="A8" s="5" t="s">
        <v>102</v>
      </c>
      <c r="B8" s="5" t="s">
        <v>144</v>
      </c>
      <c r="C8" s="6" t="s">
        <v>80</v>
      </c>
      <c r="D8" s="6" t="s">
        <v>147</v>
      </c>
      <c r="E8" s="5" t="s">
        <v>55</v>
      </c>
      <c r="F8" s="6" t="s">
        <v>148</v>
      </c>
      <c r="G8" s="5"/>
      <c r="H8" s="5" t="s">
        <v>71</v>
      </c>
      <c r="I8" s="5"/>
      <c r="J8" s="5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8">
    <cfRule type="expression" dxfId="0" priority="1">
      <formula>ISNUMBER(SEARCH("planned",H2))</formula>
    </cfRule>
  </conditionalFormatting>
  <conditionalFormatting sqref="H2:H8">
    <cfRule type="expression" dxfId="1" priority="2">
      <formula>ISNUMBER(SEARCH("approved",H2))</formula>
    </cfRule>
  </conditionalFormatting>
  <conditionalFormatting sqref="H2:H8">
    <cfRule type="expression" dxfId="2" priority="3">
      <formula>ISNUMBER(SEARCH("published",H2))</formula>
    </cfRule>
  </conditionalFormatting>
  <conditionalFormatting sqref="H2:H8">
    <cfRule type="expression" dxfId="3" priority="4">
      <formula>ISNUMBER(SEARCH("draft",H2))</formula>
    </cfRule>
  </conditionalFormatting>
  <conditionalFormatting sqref="H2:H8">
    <cfRule type="expression" dxfId="4" priority="5">
      <formula>ISNUMBER(SEARCH("revision",H2))</formula>
    </cfRule>
  </conditionalFormatting>
  <dataValidations>
    <dataValidation type="list" allowBlank="1" sqref="H2:H8">
      <formula1>"Planned,Published"</formula1>
    </dataValidation>
  </dataValidations>
  <hyperlinks>
    <hyperlink r:id="rId1" ref="G2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7.0"/>
    <col customWidth="1" min="3" max="3" width="16.86"/>
    <col customWidth="1" min="4" max="4" width="10.0"/>
    <col customWidth="1" min="5" max="5" width="16.0"/>
    <col customWidth="1" min="6" max="6" width="11.0"/>
    <col customWidth="1" min="7" max="7" width="16.0"/>
    <col customWidth="1" min="8" max="9" width="26.0"/>
    <col customWidth="1" min="10" max="10" width="24.0"/>
    <col customWidth="1" min="11" max="11" width="22.0"/>
    <col customWidth="1" min="12" max="12" width="14.0"/>
    <col customWidth="1" min="13" max="13" width="19.86"/>
    <col customWidth="1" min="14" max="26" width="8.71"/>
  </cols>
  <sheetData>
    <row r="1" ht="19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16</v>
      </c>
      <c r="K1" s="1" t="s">
        <v>18</v>
      </c>
      <c r="L1" s="1" t="s">
        <v>21</v>
      </c>
      <c r="M1" s="1" t="s">
        <v>23</v>
      </c>
    </row>
    <row r="2">
      <c r="A2" s="5">
        <v>1.0</v>
      </c>
      <c r="B2" s="5">
        <v>1.0</v>
      </c>
      <c r="C2" s="5" t="s">
        <v>29</v>
      </c>
      <c r="D2" s="5" t="s">
        <v>56</v>
      </c>
      <c r="E2" s="5" t="s">
        <v>294</v>
      </c>
      <c r="F2" s="5" t="s">
        <v>36</v>
      </c>
      <c r="G2" s="5" t="s">
        <v>297</v>
      </c>
      <c r="H2" s="6" t="s">
        <v>300</v>
      </c>
      <c r="I2" s="6" t="s">
        <v>303</v>
      </c>
      <c r="J2" s="6" t="s">
        <v>305</v>
      </c>
      <c r="K2" s="6" t="s">
        <v>306</v>
      </c>
      <c r="L2" s="5" t="s">
        <v>67</v>
      </c>
      <c r="M2" s="16" t="s">
        <v>54</v>
      </c>
    </row>
    <row r="3">
      <c r="A3" s="5">
        <v>2.0</v>
      </c>
      <c r="B3" s="5">
        <v>1.0</v>
      </c>
      <c r="C3" s="5" t="s">
        <v>29</v>
      </c>
      <c r="D3" s="5" t="s">
        <v>55</v>
      </c>
      <c r="E3" s="5" t="s">
        <v>294</v>
      </c>
      <c r="F3" s="5" t="s">
        <v>36</v>
      </c>
      <c r="G3" s="5" t="s">
        <v>313</v>
      </c>
      <c r="H3" s="6" t="s">
        <v>314</v>
      </c>
      <c r="I3" s="6" t="s">
        <v>316</v>
      </c>
      <c r="J3" s="6" t="s">
        <v>317</v>
      </c>
      <c r="K3" s="6" t="s">
        <v>318</v>
      </c>
      <c r="L3" s="5" t="s">
        <v>117</v>
      </c>
      <c r="M3" s="5" t="s">
        <v>54</v>
      </c>
    </row>
    <row r="4">
      <c r="A4" s="5">
        <v>3.0</v>
      </c>
      <c r="B4" s="5">
        <v>1.0</v>
      </c>
      <c r="C4" s="5" t="s">
        <v>29</v>
      </c>
      <c r="D4" s="5" t="s">
        <v>32</v>
      </c>
      <c r="E4" s="5" t="s">
        <v>324</v>
      </c>
      <c r="F4" s="5" t="s">
        <v>105</v>
      </c>
      <c r="G4" s="5" t="s">
        <v>325</v>
      </c>
      <c r="H4" s="6" t="s">
        <v>327</v>
      </c>
      <c r="I4" s="6" t="s">
        <v>328</v>
      </c>
      <c r="J4" s="6" t="s">
        <v>330</v>
      </c>
      <c r="K4" s="6" t="s">
        <v>116</v>
      </c>
      <c r="L4" s="5" t="s">
        <v>166</v>
      </c>
      <c r="M4" s="5" t="s">
        <v>54</v>
      </c>
    </row>
    <row r="5">
      <c r="A5" s="5">
        <v>4.0</v>
      </c>
      <c r="B5" s="5">
        <v>1.0</v>
      </c>
      <c r="C5" s="5" t="s">
        <v>29</v>
      </c>
      <c r="D5" s="5" t="s">
        <v>55</v>
      </c>
      <c r="E5" s="5" t="s">
        <v>294</v>
      </c>
      <c r="F5" s="5" t="s">
        <v>78</v>
      </c>
      <c r="G5" s="5" t="s">
        <v>297</v>
      </c>
      <c r="H5" s="6" t="s">
        <v>338</v>
      </c>
      <c r="I5" s="6" t="s">
        <v>339</v>
      </c>
      <c r="J5" s="6" t="s">
        <v>340</v>
      </c>
      <c r="K5" s="6" t="s">
        <v>341</v>
      </c>
      <c r="L5" s="5" t="s">
        <v>67</v>
      </c>
      <c r="M5" s="5" t="s">
        <v>54</v>
      </c>
    </row>
    <row r="6">
      <c r="A6" s="5">
        <v>5.0</v>
      </c>
      <c r="B6" s="5">
        <v>2.0</v>
      </c>
      <c r="C6" s="5" t="s">
        <v>29</v>
      </c>
      <c r="D6" s="5" t="s">
        <v>56</v>
      </c>
      <c r="E6" s="5" t="s">
        <v>342</v>
      </c>
      <c r="F6" s="5" t="s">
        <v>36</v>
      </c>
      <c r="G6" s="5" t="s">
        <v>344</v>
      </c>
      <c r="H6" s="6" t="s">
        <v>348</v>
      </c>
      <c r="I6" s="6" t="s">
        <v>351</v>
      </c>
      <c r="J6" s="6" t="s">
        <v>354</v>
      </c>
      <c r="K6" s="6" t="s">
        <v>355</v>
      </c>
      <c r="L6" s="5" t="s">
        <v>53</v>
      </c>
      <c r="M6" s="5" t="s">
        <v>54</v>
      </c>
    </row>
    <row r="7">
      <c r="A7" s="5">
        <v>6.0</v>
      </c>
      <c r="B7" s="5">
        <v>2.0</v>
      </c>
      <c r="C7" s="5" t="s">
        <v>29</v>
      </c>
      <c r="D7" s="5" t="s">
        <v>32</v>
      </c>
      <c r="E7" s="5" t="s">
        <v>294</v>
      </c>
      <c r="F7" s="5" t="s">
        <v>105</v>
      </c>
      <c r="G7" s="5" t="s">
        <v>363</v>
      </c>
      <c r="H7" s="6" t="s">
        <v>366</v>
      </c>
      <c r="I7" s="6" t="s">
        <v>367</v>
      </c>
      <c r="J7" s="6" t="s">
        <v>370</v>
      </c>
      <c r="K7" s="6" t="s">
        <v>371</v>
      </c>
      <c r="L7" s="5" t="s">
        <v>117</v>
      </c>
      <c r="M7" s="5" t="s">
        <v>54</v>
      </c>
    </row>
    <row r="8">
      <c r="A8" s="5">
        <v>7.0</v>
      </c>
      <c r="B8" s="5">
        <v>2.0</v>
      </c>
      <c r="C8" s="5" t="s">
        <v>29</v>
      </c>
      <c r="D8" s="5" t="s">
        <v>55</v>
      </c>
      <c r="E8" s="5" t="s">
        <v>374</v>
      </c>
      <c r="F8" s="5" t="s">
        <v>78</v>
      </c>
      <c r="G8" s="5" t="s">
        <v>375</v>
      </c>
      <c r="H8" s="6" t="s">
        <v>376</v>
      </c>
      <c r="I8" s="6" t="s">
        <v>377</v>
      </c>
      <c r="J8" s="6" t="s">
        <v>378</v>
      </c>
      <c r="K8" s="6" t="s">
        <v>379</v>
      </c>
      <c r="L8" s="5" t="s">
        <v>381</v>
      </c>
      <c r="M8" s="5" t="s">
        <v>54</v>
      </c>
    </row>
    <row r="9">
      <c r="A9" s="5">
        <v>8.0</v>
      </c>
      <c r="B9" s="5">
        <v>2.0</v>
      </c>
      <c r="C9" s="5" t="s">
        <v>29</v>
      </c>
      <c r="D9" s="5" t="s">
        <v>56</v>
      </c>
      <c r="E9" s="5" t="s">
        <v>324</v>
      </c>
      <c r="F9" s="5" t="s">
        <v>72</v>
      </c>
      <c r="G9" s="5" t="s">
        <v>385</v>
      </c>
      <c r="H9" s="6" t="s">
        <v>386</v>
      </c>
      <c r="I9" s="6" t="s">
        <v>387</v>
      </c>
      <c r="J9" s="6" t="s">
        <v>68</v>
      </c>
      <c r="K9" s="6" t="s">
        <v>388</v>
      </c>
      <c r="L9" s="5" t="s">
        <v>173</v>
      </c>
      <c r="M9" s="5" t="s">
        <v>54</v>
      </c>
    </row>
    <row r="10">
      <c r="A10" s="5">
        <v>9.0</v>
      </c>
      <c r="B10" s="5">
        <v>3.0</v>
      </c>
      <c r="C10" s="5" t="s">
        <v>29</v>
      </c>
      <c r="D10" s="5" t="s">
        <v>32</v>
      </c>
      <c r="E10" s="5" t="s">
        <v>389</v>
      </c>
      <c r="F10" s="5" t="s">
        <v>105</v>
      </c>
      <c r="G10" s="5" t="s">
        <v>390</v>
      </c>
      <c r="H10" s="6" t="s">
        <v>391</v>
      </c>
      <c r="I10" s="6" t="s">
        <v>392</v>
      </c>
      <c r="J10" s="6" t="s">
        <v>393</v>
      </c>
      <c r="K10" s="6" t="s">
        <v>394</v>
      </c>
      <c r="L10" s="5" t="s">
        <v>117</v>
      </c>
      <c r="M10" s="5" t="s">
        <v>54</v>
      </c>
    </row>
    <row r="11">
      <c r="A11" s="5">
        <v>10.0</v>
      </c>
      <c r="B11" s="5">
        <v>3.0</v>
      </c>
      <c r="C11" s="5" t="s">
        <v>29</v>
      </c>
      <c r="D11" s="5" t="s">
        <v>55</v>
      </c>
      <c r="E11" s="5" t="s">
        <v>294</v>
      </c>
      <c r="F11" s="5" t="s">
        <v>36</v>
      </c>
      <c r="G11" s="5" t="s">
        <v>313</v>
      </c>
      <c r="H11" s="6" t="s">
        <v>395</v>
      </c>
      <c r="I11" s="6" t="s">
        <v>396</v>
      </c>
      <c r="J11" s="6" t="s">
        <v>397</v>
      </c>
      <c r="K11" s="6" t="s">
        <v>398</v>
      </c>
      <c r="L11" s="5" t="s">
        <v>67</v>
      </c>
      <c r="M11" s="5" t="s">
        <v>54</v>
      </c>
    </row>
    <row r="12">
      <c r="A12" s="5">
        <v>11.0</v>
      </c>
      <c r="B12" s="5">
        <v>3.0</v>
      </c>
      <c r="C12" s="5" t="s">
        <v>29</v>
      </c>
      <c r="D12" s="5" t="s">
        <v>56</v>
      </c>
      <c r="E12" s="5" t="s">
        <v>399</v>
      </c>
      <c r="F12" s="5" t="s">
        <v>132</v>
      </c>
      <c r="G12" s="5" t="s">
        <v>400</v>
      </c>
      <c r="H12" s="6" t="s">
        <v>401</v>
      </c>
      <c r="I12" s="6" t="s">
        <v>402</v>
      </c>
      <c r="J12" s="6" t="s">
        <v>403</v>
      </c>
      <c r="K12" s="6" t="s">
        <v>404</v>
      </c>
      <c r="L12" s="5" t="s">
        <v>53</v>
      </c>
      <c r="M12" s="5" t="s">
        <v>54</v>
      </c>
    </row>
    <row r="13">
      <c r="A13" s="5">
        <v>12.0</v>
      </c>
      <c r="B13" s="5">
        <v>3.0</v>
      </c>
      <c r="C13" s="5" t="s">
        <v>29</v>
      </c>
      <c r="D13" s="5" t="s">
        <v>32</v>
      </c>
      <c r="E13" s="5" t="s">
        <v>294</v>
      </c>
      <c r="F13" s="5" t="s">
        <v>72</v>
      </c>
      <c r="G13" s="5" t="s">
        <v>405</v>
      </c>
      <c r="H13" s="6" t="s">
        <v>406</v>
      </c>
      <c r="I13" s="6" t="s">
        <v>407</v>
      </c>
      <c r="J13" s="6" t="s">
        <v>408</v>
      </c>
      <c r="K13" s="6" t="s">
        <v>409</v>
      </c>
      <c r="L13" s="5" t="s">
        <v>173</v>
      </c>
      <c r="M13" s="5" t="s">
        <v>54</v>
      </c>
    </row>
    <row r="14">
      <c r="A14" s="5">
        <v>13.0</v>
      </c>
      <c r="B14" s="5">
        <v>4.0</v>
      </c>
      <c r="C14" s="5" t="s">
        <v>29</v>
      </c>
      <c r="D14" s="5" t="s">
        <v>55</v>
      </c>
      <c r="E14" s="5" t="s">
        <v>342</v>
      </c>
      <c r="F14" s="5" t="s">
        <v>78</v>
      </c>
      <c r="G14" s="5" t="s">
        <v>412</v>
      </c>
      <c r="H14" s="6" t="s">
        <v>414</v>
      </c>
      <c r="I14" s="6" t="s">
        <v>415</v>
      </c>
      <c r="J14" s="6" t="s">
        <v>416</v>
      </c>
      <c r="K14" s="6" t="s">
        <v>417</v>
      </c>
      <c r="L14" s="5" t="s">
        <v>166</v>
      </c>
      <c r="M14" s="5" t="s">
        <v>54</v>
      </c>
    </row>
    <row r="15">
      <c r="A15" s="5">
        <v>14.0</v>
      </c>
      <c r="B15" s="5">
        <v>4.0</v>
      </c>
      <c r="C15" s="5" t="s">
        <v>29</v>
      </c>
      <c r="D15" s="5" t="s">
        <v>32</v>
      </c>
      <c r="E15" s="5" t="s">
        <v>399</v>
      </c>
      <c r="F15" s="5" t="s">
        <v>132</v>
      </c>
      <c r="G15" s="5" t="s">
        <v>419</v>
      </c>
      <c r="H15" s="6" t="s">
        <v>420</v>
      </c>
      <c r="I15" s="6" t="s">
        <v>421</v>
      </c>
      <c r="J15" s="6" t="s">
        <v>422</v>
      </c>
      <c r="K15" s="6" t="s">
        <v>423</v>
      </c>
      <c r="L15" s="5" t="s">
        <v>70</v>
      </c>
      <c r="M15" s="5" t="s">
        <v>54</v>
      </c>
    </row>
    <row r="16">
      <c r="A16" s="5">
        <v>15.0</v>
      </c>
      <c r="B16" s="5">
        <v>4.0</v>
      </c>
      <c r="C16" s="5" t="s">
        <v>29</v>
      </c>
      <c r="D16" s="5" t="s">
        <v>55</v>
      </c>
      <c r="E16" s="5" t="s">
        <v>294</v>
      </c>
      <c r="F16" s="5" t="s">
        <v>245</v>
      </c>
      <c r="G16" s="5" t="s">
        <v>425</v>
      </c>
      <c r="H16" s="6" t="s">
        <v>426</v>
      </c>
      <c r="I16" s="6" t="s">
        <v>427</v>
      </c>
      <c r="J16" s="6" t="s">
        <v>428</v>
      </c>
      <c r="K16" s="6" t="s">
        <v>429</v>
      </c>
      <c r="L16" s="5" t="s">
        <v>430</v>
      </c>
      <c r="M16" s="5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16">
    <cfRule type="expression" dxfId="0" priority="1">
      <formula>ISNUMBER(SEARCH("planned",M2))</formula>
    </cfRule>
  </conditionalFormatting>
  <conditionalFormatting sqref="M2:M16">
    <cfRule type="expression" dxfId="1" priority="2">
      <formula>ISNUMBER(SEARCH("approved",M2))</formula>
    </cfRule>
  </conditionalFormatting>
  <conditionalFormatting sqref="M2:M16">
    <cfRule type="expression" dxfId="2" priority="3">
      <formula>ISNUMBER(SEARCH("published",M2))</formula>
    </cfRule>
  </conditionalFormatting>
  <conditionalFormatting sqref="M2:M16">
    <cfRule type="expression" dxfId="3" priority="4">
      <formula>ISNUMBER(SEARCH("draft",M2))</formula>
    </cfRule>
  </conditionalFormatting>
  <conditionalFormatting sqref="M2:M16">
    <cfRule type="expression" dxfId="4" priority="5">
      <formula>ISNUMBER(SEARCH("revision",M2))</formula>
    </cfRule>
  </conditionalFormatting>
  <dataValidations>
    <dataValidation type="list" allowBlank="1" sqref="M2:M16">
      <formula1>"Planned,Published"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7.0"/>
    <col customWidth="1" min="3" max="4" width="10.0"/>
    <col customWidth="1" min="5" max="5" width="9.0"/>
    <col customWidth="1" min="6" max="6" width="13.0"/>
    <col customWidth="1" min="7" max="7" width="18.14"/>
    <col customWidth="1" min="8" max="8" width="18.0"/>
    <col customWidth="1" min="9" max="9" width="26.0"/>
    <col customWidth="1" min="10" max="10" width="22.0"/>
    <col customWidth="1" min="11" max="12" width="12.0"/>
    <col customWidth="1" min="13" max="13" width="14.43"/>
    <col customWidth="1" min="14" max="14" width="24.0"/>
    <col customWidth="1" min="15" max="26" width="8.71"/>
  </cols>
  <sheetData>
    <row r="1" ht="19.5" customHeight="1">
      <c r="A1" s="1" t="s">
        <v>7</v>
      </c>
      <c r="B1" s="1" t="s">
        <v>2</v>
      </c>
      <c r="C1" s="1" t="s">
        <v>9</v>
      </c>
      <c r="D1" s="1" t="s">
        <v>3</v>
      </c>
      <c r="E1" s="1" t="s">
        <v>4</v>
      </c>
      <c r="F1" s="1" t="s">
        <v>5</v>
      </c>
      <c r="G1" s="1" t="s">
        <v>410</v>
      </c>
      <c r="H1" s="1" t="s">
        <v>411</v>
      </c>
      <c r="I1" s="1" t="s">
        <v>413</v>
      </c>
      <c r="J1" s="1" t="s">
        <v>11</v>
      </c>
      <c r="K1" s="1" t="s">
        <v>21</v>
      </c>
      <c r="L1" s="1" t="s">
        <v>23</v>
      </c>
      <c r="M1" s="1" t="s">
        <v>418</v>
      </c>
      <c r="N1" s="1" t="s">
        <v>34</v>
      </c>
    </row>
    <row r="2">
      <c r="A2" s="6" t="s">
        <v>169</v>
      </c>
      <c r="B2" s="5" t="s">
        <v>424</v>
      </c>
      <c r="C2" s="17">
        <v>46237.0</v>
      </c>
      <c r="D2" s="5" t="s">
        <v>29</v>
      </c>
      <c r="E2" s="5" t="s">
        <v>32</v>
      </c>
      <c r="F2" s="5"/>
      <c r="G2" s="5"/>
      <c r="H2" s="6" t="s">
        <v>33</v>
      </c>
      <c r="I2" s="6" t="s">
        <v>41</v>
      </c>
      <c r="J2" s="6"/>
      <c r="K2" s="5"/>
      <c r="L2" s="5" t="s">
        <v>71</v>
      </c>
      <c r="M2" s="6" t="s">
        <v>50</v>
      </c>
      <c r="N2" s="6" t="s">
        <v>46</v>
      </c>
    </row>
    <row r="3">
      <c r="A3" s="6" t="s">
        <v>169</v>
      </c>
      <c r="B3" s="5" t="s">
        <v>424</v>
      </c>
      <c r="C3" s="17">
        <v>46239.0</v>
      </c>
      <c r="D3" s="5" t="s">
        <v>29</v>
      </c>
      <c r="E3" s="5" t="s">
        <v>55</v>
      </c>
      <c r="F3" s="5"/>
      <c r="G3" s="5"/>
      <c r="H3" s="6" t="s">
        <v>80</v>
      </c>
      <c r="I3" s="6" t="s">
        <v>83</v>
      </c>
      <c r="J3" s="6"/>
      <c r="K3" s="5"/>
      <c r="L3" s="5" t="s">
        <v>71</v>
      </c>
      <c r="M3" s="6" t="s">
        <v>87</v>
      </c>
      <c r="N3" s="6" t="s">
        <v>86</v>
      </c>
    </row>
    <row r="4">
      <c r="A4" s="6" t="s">
        <v>169</v>
      </c>
      <c r="B4" s="5" t="s">
        <v>424</v>
      </c>
      <c r="C4" s="17">
        <v>46241.0</v>
      </c>
      <c r="D4" s="5" t="s">
        <v>29</v>
      </c>
      <c r="E4" s="5" t="s">
        <v>56</v>
      </c>
      <c r="F4" s="5"/>
      <c r="G4" s="5"/>
      <c r="H4" s="6" t="s">
        <v>33</v>
      </c>
      <c r="I4" s="6" t="s">
        <v>93</v>
      </c>
      <c r="J4" s="6"/>
      <c r="K4" s="5"/>
      <c r="L4" s="5" t="s">
        <v>71</v>
      </c>
      <c r="M4" s="6" t="s">
        <v>95</v>
      </c>
      <c r="N4" s="6" t="s">
        <v>94</v>
      </c>
    </row>
    <row r="5">
      <c r="A5" s="6" t="s">
        <v>169</v>
      </c>
      <c r="B5" s="5" t="s">
        <v>431</v>
      </c>
      <c r="C5" s="17">
        <v>46244.0</v>
      </c>
      <c r="D5" s="5" t="s">
        <v>29</v>
      </c>
      <c r="E5" s="5" t="s">
        <v>55</v>
      </c>
      <c r="F5" s="5"/>
      <c r="G5" s="5"/>
      <c r="H5" s="6" t="s">
        <v>80</v>
      </c>
      <c r="I5" s="6" t="s">
        <v>108</v>
      </c>
      <c r="J5" s="6"/>
      <c r="K5" s="5"/>
      <c r="L5" s="5" t="s">
        <v>71</v>
      </c>
      <c r="M5" s="6" t="s">
        <v>111</v>
      </c>
      <c r="N5" s="6" t="s">
        <v>110</v>
      </c>
    </row>
    <row r="6">
      <c r="A6" s="6" t="s">
        <v>169</v>
      </c>
      <c r="B6" s="5" t="s">
        <v>431</v>
      </c>
      <c r="C6" s="17">
        <v>46246.0</v>
      </c>
      <c r="D6" s="5" t="s">
        <v>29</v>
      </c>
      <c r="E6" s="5" t="s">
        <v>55</v>
      </c>
      <c r="F6" s="5"/>
      <c r="G6" s="5"/>
      <c r="H6" s="6" t="s">
        <v>119</v>
      </c>
      <c r="I6" s="6" t="s">
        <v>120</v>
      </c>
      <c r="J6" s="6"/>
      <c r="K6" s="5"/>
      <c r="L6" s="5" t="s">
        <v>71</v>
      </c>
      <c r="M6" s="6"/>
      <c r="N6" s="6" t="s">
        <v>121</v>
      </c>
    </row>
    <row r="7">
      <c r="A7" s="6" t="s">
        <v>169</v>
      </c>
      <c r="B7" s="5" t="s">
        <v>431</v>
      </c>
      <c r="C7" s="17">
        <v>46248.0</v>
      </c>
      <c r="D7" s="5" t="s">
        <v>29</v>
      </c>
      <c r="E7" s="5" t="s">
        <v>56</v>
      </c>
      <c r="F7" s="5"/>
      <c r="G7" s="5"/>
      <c r="H7" s="6" t="s">
        <v>33</v>
      </c>
      <c r="I7" s="6" t="s">
        <v>133</v>
      </c>
      <c r="J7" s="6"/>
      <c r="K7" s="5"/>
      <c r="L7" s="5" t="s">
        <v>71</v>
      </c>
      <c r="M7" s="6" t="s">
        <v>136</v>
      </c>
      <c r="N7" s="6" t="s">
        <v>135</v>
      </c>
    </row>
    <row r="8">
      <c r="A8" s="6" t="s">
        <v>169</v>
      </c>
      <c r="B8" s="5" t="s">
        <v>431</v>
      </c>
      <c r="C8" s="17">
        <v>46250.0</v>
      </c>
      <c r="D8" s="5" t="s">
        <v>29</v>
      </c>
      <c r="E8" s="5" t="s">
        <v>55</v>
      </c>
      <c r="F8" s="5"/>
      <c r="G8" s="5"/>
      <c r="H8" s="6" t="s">
        <v>80</v>
      </c>
      <c r="I8" s="6" t="s">
        <v>147</v>
      </c>
      <c r="J8" s="6"/>
      <c r="K8" s="5"/>
      <c r="L8" s="5" t="s">
        <v>71</v>
      </c>
      <c r="M8" s="6"/>
      <c r="N8" s="6" t="s">
        <v>148</v>
      </c>
    </row>
    <row r="9">
      <c r="A9" s="6" t="s">
        <v>194</v>
      </c>
      <c r="B9" s="5">
        <v>1.0</v>
      </c>
      <c r="C9" s="5"/>
      <c r="D9" s="5" t="s">
        <v>29</v>
      </c>
      <c r="E9" s="5" t="s">
        <v>56</v>
      </c>
      <c r="F9" s="5" t="s">
        <v>294</v>
      </c>
      <c r="G9" s="5" t="s">
        <v>36</v>
      </c>
      <c r="H9" s="6" t="s">
        <v>297</v>
      </c>
      <c r="I9" s="6" t="s">
        <v>300</v>
      </c>
      <c r="J9" s="6" t="s">
        <v>303</v>
      </c>
      <c r="K9" s="5" t="s">
        <v>67</v>
      </c>
      <c r="L9" s="5" t="s">
        <v>54</v>
      </c>
      <c r="M9" s="6"/>
      <c r="N9" s="6"/>
    </row>
    <row r="10">
      <c r="A10" s="6" t="s">
        <v>194</v>
      </c>
      <c r="B10" s="5">
        <v>1.0</v>
      </c>
      <c r="C10" s="5"/>
      <c r="D10" s="5" t="s">
        <v>29</v>
      </c>
      <c r="E10" s="5" t="s">
        <v>55</v>
      </c>
      <c r="F10" s="5" t="s">
        <v>294</v>
      </c>
      <c r="G10" s="5" t="s">
        <v>36</v>
      </c>
      <c r="H10" s="6" t="s">
        <v>313</v>
      </c>
      <c r="I10" s="6" t="s">
        <v>314</v>
      </c>
      <c r="J10" s="6" t="s">
        <v>316</v>
      </c>
      <c r="K10" s="5" t="s">
        <v>117</v>
      </c>
      <c r="L10" s="5" t="s">
        <v>54</v>
      </c>
      <c r="M10" s="6"/>
      <c r="N10" s="6"/>
    </row>
    <row r="11">
      <c r="A11" s="6" t="s">
        <v>194</v>
      </c>
      <c r="B11" s="5">
        <v>1.0</v>
      </c>
      <c r="C11" s="5"/>
      <c r="D11" s="5" t="s">
        <v>29</v>
      </c>
      <c r="E11" s="5" t="s">
        <v>32</v>
      </c>
      <c r="F11" s="5" t="s">
        <v>324</v>
      </c>
      <c r="G11" s="5" t="s">
        <v>105</v>
      </c>
      <c r="H11" s="6" t="s">
        <v>325</v>
      </c>
      <c r="I11" s="6" t="s">
        <v>327</v>
      </c>
      <c r="J11" s="6" t="s">
        <v>328</v>
      </c>
      <c r="K11" s="5" t="s">
        <v>166</v>
      </c>
      <c r="L11" s="5" t="s">
        <v>54</v>
      </c>
      <c r="M11" s="6"/>
      <c r="N11" s="6"/>
    </row>
    <row r="12">
      <c r="A12" s="6" t="s">
        <v>194</v>
      </c>
      <c r="B12" s="5">
        <v>1.0</v>
      </c>
      <c r="C12" s="5"/>
      <c r="D12" s="5" t="s">
        <v>29</v>
      </c>
      <c r="E12" s="5" t="s">
        <v>55</v>
      </c>
      <c r="F12" s="5" t="s">
        <v>294</v>
      </c>
      <c r="G12" s="5" t="s">
        <v>78</v>
      </c>
      <c r="H12" s="6" t="s">
        <v>297</v>
      </c>
      <c r="I12" s="6" t="s">
        <v>338</v>
      </c>
      <c r="J12" s="6" t="s">
        <v>339</v>
      </c>
      <c r="K12" s="5" t="s">
        <v>67</v>
      </c>
      <c r="L12" s="5" t="s">
        <v>54</v>
      </c>
      <c r="M12" s="6"/>
      <c r="N12" s="6"/>
    </row>
    <row r="13">
      <c r="A13" s="6" t="s">
        <v>194</v>
      </c>
      <c r="B13" s="5">
        <v>2.0</v>
      </c>
      <c r="C13" s="5"/>
      <c r="D13" s="5" t="s">
        <v>29</v>
      </c>
      <c r="E13" s="5" t="s">
        <v>56</v>
      </c>
      <c r="F13" s="5" t="s">
        <v>342</v>
      </c>
      <c r="G13" s="5" t="s">
        <v>36</v>
      </c>
      <c r="H13" s="6" t="s">
        <v>344</v>
      </c>
      <c r="I13" s="6" t="s">
        <v>348</v>
      </c>
      <c r="J13" s="6" t="s">
        <v>351</v>
      </c>
      <c r="K13" s="5" t="s">
        <v>53</v>
      </c>
      <c r="L13" s="5" t="s">
        <v>54</v>
      </c>
      <c r="M13" s="6"/>
      <c r="N13" s="6"/>
    </row>
    <row r="14">
      <c r="A14" s="6" t="s">
        <v>194</v>
      </c>
      <c r="B14" s="5">
        <v>2.0</v>
      </c>
      <c r="C14" s="5"/>
      <c r="D14" s="5" t="s">
        <v>29</v>
      </c>
      <c r="E14" s="5" t="s">
        <v>32</v>
      </c>
      <c r="F14" s="5" t="s">
        <v>294</v>
      </c>
      <c r="G14" s="5" t="s">
        <v>105</v>
      </c>
      <c r="H14" s="6" t="s">
        <v>363</v>
      </c>
      <c r="I14" s="6" t="s">
        <v>366</v>
      </c>
      <c r="J14" s="6" t="s">
        <v>367</v>
      </c>
      <c r="K14" s="5" t="s">
        <v>117</v>
      </c>
      <c r="L14" s="5" t="s">
        <v>54</v>
      </c>
      <c r="M14" s="6"/>
      <c r="N14" s="6"/>
    </row>
    <row r="15">
      <c r="A15" s="6" t="s">
        <v>194</v>
      </c>
      <c r="B15" s="5">
        <v>2.0</v>
      </c>
      <c r="C15" s="5"/>
      <c r="D15" s="5" t="s">
        <v>29</v>
      </c>
      <c r="E15" s="5" t="s">
        <v>55</v>
      </c>
      <c r="F15" s="5" t="s">
        <v>374</v>
      </c>
      <c r="G15" s="5" t="s">
        <v>78</v>
      </c>
      <c r="H15" s="6" t="s">
        <v>375</v>
      </c>
      <c r="I15" s="6" t="s">
        <v>376</v>
      </c>
      <c r="J15" s="6" t="s">
        <v>377</v>
      </c>
      <c r="K15" s="5" t="s">
        <v>381</v>
      </c>
      <c r="L15" s="5" t="s">
        <v>54</v>
      </c>
      <c r="M15" s="6"/>
      <c r="N15" s="6"/>
    </row>
    <row r="16">
      <c r="A16" s="6" t="s">
        <v>194</v>
      </c>
      <c r="B16" s="5">
        <v>2.0</v>
      </c>
      <c r="C16" s="5"/>
      <c r="D16" s="5" t="s">
        <v>29</v>
      </c>
      <c r="E16" s="5" t="s">
        <v>56</v>
      </c>
      <c r="F16" s="5" t="s">
        <v>324</v>
      </c>
      <c r="G16" s="5" t="s">
        <v>72</v>
      </c>
      <c r="H16" s="6" t="s">
        <v>385</v>
      </c>
      <c r="I16" s="6" t="s">
        <v>386</v>
      </c>
      <c r="J16" s="6" t="s">
        <v>387</v>
      </c>
      <c r="K16" s="5" t="s">
        <v>173</v>
      </c>
      <c r="L16" s="5" t="s">
        <v>54</v>
      </c>
      <c r="M16" s="6"/>
      <c r="N16" s="6"/>
    </row>
    <row r="17">
      <c r="A17" s="6" t="s">
        <v>194</v>
      </c>
      <c r="B17" s="5">
        <v>3.0</v>
      </c>
      <c r="C17" s="5"/>
      <c r="D17" s="5" t="s">
        <v>29</v>
      </c>
      <c r="E17" s="5" t="s">
        <v>32</v>
      </c>
      <c r="F17" s="5" t="s">
        <v>389</v>
      </c>
      <c r="G17" s="5" t="s">
        <v>105</v>
      </c>
      <c r="H17" s="6" t="s">
        <v>390</v>
      </c>
      <c r="I17" s="6" t="s">
        <v>391</v>
      </c>
      <c r="J17" s="6" t="s">
        <v>392</v>
      </c>
      <c r="K17" s="5" t="s">
        <v>117</v>
      </c>
      <c r="L17" s="5" t="s">
        <v>54</v>
      </c>
      <c r="M17" s="6"/>
      <c r="N17" s="6"/>
    </row>
    <row r="18">
      <c r="A18" s="6" t="s">
        <v>194</v>
      </c>
      <c r="B18" s="5">
        <v>3.0</v>
      </c>
      <c r="C18" s="5"/>
      <c r="D18" s="5" t="s">
        <v>29</v>
      </c>
      <c r="E18" s="5" t="s">
        <v>55</v>
      </c>
      <c r="F18" s="5" t="s">
        <v>294</v>
      </c>
      <c r="G18" s="5" t="s">
        <v>36</v>
      </c>
      <c r="H18" s="6" t="s">
        <v>313</v>
      </c>
      <c r="I18" s="6" t="s">
        <v>395</v>
      </c>
      <c r="J18" s="6" t="s">
        <v>396</v>
      </c>
      <c r="K18" s="5" t="s">
        <v>67</v>
      </c>
      <c r="L18" s="5" t="s">
        <v>54</v>
      </c>
      <c r="M18" s="6"/>
      <c r="N18" s="6"/>
    </row>
    <row r="19">
      <c r="A19" s="6" t="s">
        <v>194</v>
      </c>
      <c r="B19" s="5">
        <v>3.0</v>
      </c>
      <c r="C19" s="5"/>
      <c r="D19" s="5" t="s">
        <v>29</v>
      </c>
      <c r="E19" s="5" t="s">
        <v>56</v>
      </c>
      <c r="F19" s="5" t="s">
        <v>399</v>
      </c>
      <c r="G19" s="5" t="s">
        <v>132</v>
      </c>
      <c r="H19" s="6" t="s">
        <v>400</v>
      </c>
      <c r="I19" s="6" t="s">
        <v>401</v>
      </c>
      <c r="J19" s="6" t="s">
        <v>402</v>
      </c>
      <c r="K19" s="5" t="s">
        <v>53</v>
      </c>
      <c r="L19" s="5" t="s">
        <v>54</v>
      </c>
      <c r="M19" s="6"/>
      <c r="N19" s="6"/>
    </row>
    <row r="20">
      <c r="A20" s="6" t="s">
        <v>194</v>
      </c>
      <c r="B20" s="5">
        <v>3.0</v>
      </c>
      <c r="C20" s="5"/>
      <c r="D20" s="5" t="s">
        <v>29</v>
      </c>
      <c r="E20" s="5" t="s">
        <v>32</v>
      </c>
      <c r="F20" s="5" t="s">
        <v>294</v>
      </c>
      <c r="G20" s="5" t="s">
        <v>72</v>
      </c>
      <c r="H20" s="6" t="s">
        <v>405</v>
      </c>
      <c r="I20" s="6" t="s">
        <v>406</v>
      </c>
      <c r="J20" s="6" t="s">
        <v>407</v>
      </c>
      <c r="K20" s="5" t="s">
        <v>173</v>
      </c>
      <c r="L20" s="5" t="s">
        <v>54</v>
      </c>
      <c r="M20" s="6"/>
      <c r="N20" s="6"/>
    </row>
    <row r="21" ht="15.75" customHeight="1">
      <c r="A21" s="6" t="s">
        <v>194</v>
      </c>
      <c r="B21" s="5">
        <v>4.0</v>
      </c>
      <c r="C21" s="5"/>
      <c r="D21" s="5" t="s">
        <v>29</v>
      </c>
      <c r="E21" s="5" t="s">
        <v>55</v>
      </c>
      <c r="F21" s="5" t="s">
        <v>342</v>
      </c>
      <c r="G21" s="5" t="s">
        <v>78</v>
      </c>
      <c r="H21" s="6" t="s">
        <v>412</v>
      </c>
      <c r="I21" s="6" t="s">
        <v>414</v>
      </c>
      <c r="J21" s="6" t="s">
        <v>415</v>
      </c>
      <c r="K21" s="5" t="s">
        <v>166</v>
      </c>
      <c r="L21" s="5" t="s">
        <v>54</v>
      </c>
      <c r="M21" s="6"/>
      <c r="N21" s="6"/>
    </row>
    <row r="22" ht="15.75" customHeight="1">
      <c r="A22" s="6" t="s">
        <v>194</v>
      </c>
      <c r="B22" s="5">
        <v>4.0</v>
      </c>
      <c r="C22" s="5"/>
      <c r="D22" s="5" t="s">
        <v>29</v>
      </c>
      <c r="E22" s="5" t="s">
        <v>32</v>
      </c>
      <c r="F22" s="5" t="s">
        <v>399</v>
      </c>
      <c r="G22" s="5" t="s">
        <v>132</v>
      </c>
      <c r="H22" s="6" t="s">
        <v>419</v>
      </c>
      <c r="I22" s="6" t="s">
        <v>420</v>
      </c>
      <c r="J22" s="6" t="s">
        <v>421</v>
      </c>
      <c r="K22" s="5" t="s">
        <v>70</v>
      </c>
      <c r="L22" s="5" t="s">
        <v>54</v>
      </c>
      <c r="M22" s="6"/>
      <c r="N22" s="6"/>
    </row>
    <row r="23" ht="15.75" customHeight="1">
      <c r="A23" s="6" t="s">
        <v>194</v>
      </c>
      <c r="B23" s="5">
        <v>4.0</v>
      </c>
      <c r="C23" s="5"/>
      <c r="D23" s="5" t="s">
        <v>29</v>
      </c>
      <c r="E23" s="5" t="s">
        <v>55</v>
      </c>
      <c r="F23" s="5" t="s">
        <v>294</v>
      </c>
      <c r="G23" s="5" t="s">
        <v>245</v>
      </c>
      <c r="H23" s="6" t="s">
        <v>425</v>
      </c>
      <c r="I23" s="6" t="s">
        <v>426</v>
      </c>
      <c r="J23" s="6" t="s">
        <v>427</v>
      </c>
      <c r="K23" s="5" t="s">
        <v>430</v>
      </c>
      <c r="L23" s="5" t="s">
        <v>54</v>
      </c>
      <c r="M23" s="6"/>
      <c r="N23" s="6"/>
    </row>
    <row r="24" ht="15.75" customHeight="1">
      <c r="A24" s="6" t="s">
        <v>37</v>
      </c>
      <c r="B24" s="5">
        <v>1.0</v>
      </c>
      <c r="C24" s="5"/>
      <c r="D24" s="5" t="s">
        <v>29</v>
      </c>
      <c r="E24" s="5" t="s">
        <v>32</v>
      </c>
      <c r="F24" s="5" t="s">
        <v>40</v>
      </c>
      <c r="G24" s="5" t="s">
        <v>36</v>
      </c>
      <c r="H24" s="6" t="s">
        <v>42</v>
      </c>
      <c r="I24" s="6" t="s">
        <v>45</v>
      </c>
      <c r="J24" s="6" t="s">
        <v>48</v>
      </c>
      <c r="K24" s="5" t="s">
        <v>53</v>
      </c>
      <c r="L24" s="5" t="s">
        <v>54</v>
      </c>
      <c r="M24" s="6"/>
      <c r="N24" s="6"/>
    </row>
    <row r="25" ht="15.75" customHeight="1">
      <c r="A25" s="6" t="s">
        <v>37</v>
      </c>
      <c r="B25" s="5">
        <v>1.0</v>
      </c>
      <c r="C25" s="5"/>
      <c r="D25" s="5" t="s">
        <v>29</v>
      </c>
      <c r="E25" s="5" t="s">
        <v>56</v>
      </c>
      <c r="F25" s="5" t="s">
        <v>58</v>
      </c>
      <c r="G25" s="5" t="s">
        <v>36</v>
      </c>
      <c r="H25" s="6" t="s">
        <v>61</v>
      </c>
      <c r="I25" s="6" t="s">
        <v>63</v>
      </c>
      <c r="J25" s="6" t="s">
        <v>65</v>
      </c>
      <c r="K25" s="5" t="s">
        <v>70</v>
      </c>
      <c r="L25" s="5" t="s">
        <v>54</v>
      </c>
      <c r="M25" s="6"/>
      <c r="N25" s="6"/>
    </row>
    <row r="26" ht="15.75" customHeight="1">
      <c r="A26" s="6" t="s">
        <v>37</v>
      </c>
      <c r="B26" s="5">
        <v>1.0</v>
      </c>
      <c r="C26" s="5"/>
      <c r="D26" s="5" t="s">
        <v>29</v>
      </c>
      <c r="E26" s="5" t="s">
        <v>55</v>
      </c>
      <c r="F26" s="5" t="s">
        <v>58</v>
      </c>
      <c r="G26" s="5" t="s">
        <v>78</v>
      </c>
      <c r="H26" s="6" t="s">
        <v>82</v>
      </c>
      <c r="I26" s="6" t="s">
        <v>85</v>
      </c>
      <c r="J26" s="6" t="s">
        <v>88</v>
      </c>
      <c r="K26" s="5" t="s">
        <v>67</v>
      </c>
      <c r="L26" s="5" t="s">
        <v>54</v>
      </c>
      <c r="M26" s="6"/>
      <c r="N26" s="6"/>
    </row>
    <row r="27" ht="15.75" customHeight="1">
      <c r="A27" s="6" t="s">
        <v>37</v>
      </c>
      <c r="B27" s="5">
        <v>1.0</v>
      </c>
      <c r="C27" s="5"/>
      <c r="D27" s="5" t="s">
        <v>29</v>
      </c>
      <c r="E27" s="5" t="s">
        <v>32</v>
      </c>
      <c r="F27" s="5" t="s">
        <v>101</v>
      </c>
      <c r="G27" s="5" t="s">
        <v>105</v>
      </c>
      <c r="H27" s="6" t="s">
        <v>107</v>
      </c>
      <c r="I27" s="6" t="s">
        <v>109</v>
      </c>
      <c r="J27" s="6" t="s">
        <v>112</v>
      </c>
      <c r="K27" s="5" t="s">
        <v>117</v>
      </c>
      <c r="L27" s="5" t="s">
        <v>54</v>
      </c>
      <c r="M27" s="6"/>
      <c r="N27" s="6"/>
    </row>
    <row r="28" ht="15.75" customHeight="1">
      <c r="A28" s="6" t="s">
        <v>37</v>
      </c>
      <c r="B28" s="5">
        <v>1.0</v>
      </c>
      <c r="C28" s="5"/>
      <c r="D28" s="5" t="s">
        <v>29</v>
      </c>
      <c r="E28" s="5" t="s">
        <v>56</v>
      </c>
      <c r="F28" s="5" t="s">
        <v>130</v>
      </c>
      <c r="G28" s="5" t="s">
        <v>132</v>
      </c>
      <c r="H28" s="6" t="s">
        <v>134</v>
      </c>
      <c r="I28" s="6" t="s">
        <v>137</v>
      </c>
      <c r="J28" s="6" t="s">
        <v>138</v>
      </c>
      <c r="K28" s="5" t="s">
        <v>53</v>
      </c>
      <c r="L28" s="5" t="s">
        <v>54</v>
      </c>
      <c r="M28" s="6"/>
      <c r="N28" s="6"/>
    </row>
    <row r="29" ht="15.75" customHeight="1">
      <c r="A29" s="6" t="s">
        <v>37</v>
      </c>
      <c r="B29" s="5">
        <v>2.0</v>
      </c>
      <c r="C29" s="5"/>
      <c r="D29" s="5" t="s">
        <v>29</v>
      </c>
      <c r="E29" s="5" t="s">
        <v>55</v>
      </c>
      <c r="F29" s="5" t="s">
        <v>58</v>
      </c>
      <c r="G29" s="5" t="s">
        <v>78</v>
      </c>
      <c r="H29" s="6" t="s">
        <v>156</v>
      </c>
      <c r="I29" s="6" t="s">
        <v>157</v>
      </c>
      <c r="J29" s="6" t="s">
        <v>162</v>
      </c>
      <c r="K29" s="5" t="s">
        <v>166</v>
      </c>
      <c r="L29" s="5" t="s">
        <v>54</v>
      </c>
      <c r="M29" s="6"/>
      <c r="N29" s="6"/>
    </row>
    <row r="30" ht="15.75" customHeight="1">
      <c r="A30" s="6" t="s">
        <v>37</v>
      </c>
      <c r="B30" s="5">
        <v>2.0</v>
      </c>
      <c r="C30" s="5"/>
      <c r="D30" s="5" t="s">
        <v>29</v>
      </c>
      <c r="E30" s="5" t="s">
        <v>32</v>
      </c>
      <c r="F30" s="5" t="s">
        <v>174</v>
      </c>
      <c r="G30" s="5" t="s">
        <v>105</v>
      </c>
      <c r="H30" s="6" t="s">
        <v>175</v>
      </c>
      <c r="I30" s="6" t="s">
        <v>176</v>
      </c>
      <c r="J30" s="6" t="s">
        <v>177</v>
      </c>
      <c r="K30" s="5" t="s">
        <v>184</v>
      </c>
      <c r="L30" s="5" t="s">
        <v>54</v>
      </c>
      <c r="M30" s="6"/>
      <c r="N30" s="6"/>
    </row>
    <row r="31" ht="15.75" customHeight="1">
      <c r="A31" s="6" t="s">
        <v>37</v>
      </c>
      <c r="B31" s="5">
        <v>2.0</v>
      </c>
      <c r="C31" s="5"/>
      <c r="D31" s="5" t="s">
        <v>29</v>
      </c>
      <c r="E31" s="5" t="s">
        <v>56</v>
      </c>
      <c r="F31" s="5" t="s">
        <v>188</v>
      </c>
      <c r="G31" s="5" t="s">
        <v>36</v>
      </c>
      <c r="H31" s="6" t="s">
        <v>193</v>
      </c>
      <c r="I31" s="6" t="s">
        <v>195</v>
      </c>
      <c r="J31" s="6" t="s">
        <v>196</v>
      </c>
      <c r="K31" s="5" t="s">
        <v>117</v>
      </c>
      <c r="L31" s="5" t="s">
        <v>54</v>
      </c>
      <c r="M31" s="6"/>
      <c r="N31" s="6"/>
    </row>
    <row r="32" ht="15.75" customHeight="1">
      <c r="A32" s="6" t="s">
        <v>37</v>
      </c>
      <c r="B32" s="5">
        <v>2.0</v>
      </c>
      <c r="C32" s="5"/>
      <c r="D32" s="5" t="s">
        <v>29</v>
      </c>
      <c r="E32" s="5" t="s">
        <v>55</v>
      </c>
      <c r="F32" s="5" t="s">
        <v>58</v>
      </c>
      <c r="G32" s="5" t="s">
        <v>132</v>
      </c>
      <c r="H32" s="6" t="s">
        <v>204</v>
      </c>
      <c r="I32" s="6" t="s">
        <v>206</v>
      </c>
      <c r="J32" s="6" t="s">
        <v>208</v>
      </c>
      <c r="K32" s="5" t="s">
        <v>213</v>
      </c>
      <c r="L32" s="5" t="s">
        <v>54</v>
      </c>
      <c r="M32" s="6"/>
      <c r="N32" s="6"/>
    </row>
    <row r="33" ht="15.75" customHeight="1">
      <c r="A33" s="6" t="s">
        <v>37</v>
      </c>
      <c r="B33" s="5">
        <v>3.0</v>
      </c>
      <c r="C33" s="5"/>
      <c r="D33" s="5" t="s">
        <v>29</v>
      </c>
      <c r="E33" s="5" t="s">
        <v>32</v>
      </c>
      <c r="F33" s="5" t="s">
        <v>219</v>
      </c>
      <c r="G33" s="5" t="s">
        <v>105</v>
      </c>
      <c r="H33" s="6" t="s">
        <v>221</v>
      </c>
      <c r="I33" s="6" t="s">
        <v>222</v>
      </c>
      <c r="J33" s="6" t="s">
        <v>223</v>
      </c>
      <c r="K33" s="5" t="s">
        <v>117</v>
      </c>
      <c r="L33" s="5" t="s">
        <v>54</v>
      </c>
      <c r="M33" s="6"/>
      <c r="N33" s="6"/>
    </row>
    <row r="34" ht="15.75" customHeight="1">
      <c r="A34" s="6" t="s">
        <v>37</v>
      </c>
      <c r="B34" s="5">
        <v>3.0</v>
      </c>
      <c r="C34" s="5"/>
      <c r="D34" s="5" t="s">
        <v>29</v>
      </c>
      <c r="E34" s="5" t="s">
        <v>56</v>
      </c>
      <c r="F34" s="5" t="s">
        <v>58</v>
      </c>
      <c r="G34" s="5" t="s">
        <v>36</v>
      </c>
      <c r="H34" s="6" t="s">
        <v>233</v>
      </c>
      <c r="I34" s="6" t="s">
        <v>236</v>
      </c>
      <c r="J34" s="6" t="s">
        <v>240</v>
      </c>
      <c r="K34" s="5" t="s">
        <v>67</v>
      </c>
      <c r="L34" s="5" t="s">
        <v>54</v>
      </c>
      <c r="M34" s="6"/>
      <c r="N34" s="6"/>
    </row>
    <row r="35" ht="15.75" customHeight="1">
      <c r="A35" s="6" t="s">
        <v>37</v>
      </c>
      <c r="B35" s="5">
        <v>3.0</v>
      </c>
      <c r="C35" s="5"/>
      <c r="D35" s="5" t="s">
        <v>29</v>
      </c>
      <c r="E35" s="5" t="s">
        <v>55</v>
      </c>
      <c r="F35" s="5" t="s">
        <v>130</v>
      </c>
      <c r="G35" s="5" t="s">
        <v>78</v>
      </c>
      <c r="H35" s="6" t="s">
        <v>251</v>
      </c>
      <c r="I35" s="6" t="s">
        <v>252</v>
      </c>
      <c r="J35" s="6" t="s">
        <v>253</v>
      </c>
      <c r="K35" s="5" t="s">
        <v>53</v>
      </c>
      <c r="L35" s="5" t="s">
        <v>54</v>
      </c>
      <c r="M35" s="6"/>
      <c r="N35" s="6"/>
    </row>
    <row r="36" ht="15.75" customHeight="1">
      <c r="A36" s="6" t="s">
        <v>37</v>
      </c>
      <c r="B36" s="5">
        <v>3.0</v>
      </c>
      <c r="C36" s="5"/>
      <c r="D36" s="5" t="s">
        <v>29</v>
      </c>
      <c r="E36" s="5" t="s">
        <v>32</v>
      </c>
      <c r="F36" s="5" t="s">
        <v>219</v>
      </c>
      <c r="G36" s="5" t="s">
        <v>105</v>
      </c>
      <c r="H36" s="6" t="s">
        <v>261</v>
      </c>
      <c r="I36" s="6" t="s">
        <v>262</v>
      </c>
      <c r="J36" s="6" t="s">
        <v>264</v>
      </c>
      <c r="K36" s="5" t="s">
        <v>117</v>
      </c>
      <c r="L36" s="5" t="s">
        <v>54</v>
      </c>
      <c r="M36" s="6"/>
      <c r="N36" s="6"/>
    </row>
    <row r="37" ht="15.75" customHeight="1">
      <c r="A37" s="6" t="s">
        <v>37</v>
      </c>
      <c r="B37" s="5">
        <v>4.0</v>
      </c>
      <c r="C37" s="5"/>
      <c r="D37" s="5" t="s">
        <v>29</v>
      </c>
      <c r="E37" s="5" t="s">
        <v>56</v>
      </c>
      <c r="F37" s="5" t="s">
        <v>188</v>
      </c>
      <c r="G37" s="5" t="s">
        <v>132</v>
      </c>
      <c r="H37" s="6" t="s">
        <v>273</v>
      </c>
      <c r="I37" s="6" t="s">
        <v>274</v>
      </c>
      <c r="J37" s="6" t="s">
        <v>275</v>
      </c>
      <c r="K37" s="5" t="s">
        <v>53</v>
      </c>
      <c r="L37" s="5" t="s">
        <v>54</v>
      </c>
      <c r="M37" s="6"/>
      <c r="N37" s="6"/>
    </row>
    <row r="38" ht="15.75" customHeight="1">
      <c r="A38" s="6" t="s">
        <v>37</v>
      </c>
      <c r="B38" s="5">
        <v>4.0</v>
      </c>
      <c r="C38" s="5"/>
      <c r="D38" s="5" t="s">
        <v>29</v>
      </c>
      <c r="E38" s="5" t="s">
        <v>55</v>
      </c>
      <c r="F38" s="5" t="s">
        <v>101</v>
      </c>
      <c r="G38" s="5" t="s">
        <v>78</v>
      </c>
      <c r="H38" s="6" t="s">
        <v>107</v>
      </c>
      <c r="I38" s="6" t="s">
        <v>282</v>
      </c>
      <c r="J38" s="6" t="s">
        <v>285</v>
      </c>
      <c r="K38" s="5" t="s">
        <v>166</v>
      </c>
      <c r="L38" s="5" t="s">
        <v>54</v>
      </c>
      <c r="M38" s="6"/>
      <c r="N38" s="6"/>
    </row>
    <row r="39" ht="15.75" customHeight="1">
      <c r="A39" s="6" t="s">
        <v>37</v>
      </c>
      <c r="B39" s="5">
        <v>4.0</v>
      </c>
      <c r="C39" s="5"/>
      <c r="D39" s="5" t="s">
        <v>29</v>
      </c>
      <c r="E39" s="5" t="s">
        <v>32</v>
      </c>
      <c r="F39" s="5" t="s">
        <v>219</v>
      </c>
      <c r="G39" s="5" t="s">
        <v>105</v>
      </c>
      <c r="H39" s="6" t="s">
        <v>292</v>
      </c>
      <c r="I39" s="6" t="s">
        <v>296</v>
      </c>
      <c r="J39" s="6" t="s">
        <v>298</v>
      </c>
      <c r="K39" s="5" t="s">
        <v>117</v>
      </c>
      <c r="L39" s="5" t="s">
        <v>54</v>
      </c>
      <c r="M39" s="6"/>
      <c r="N39" s="6"/>
    </row>
    <row r="40" ht="15.75" customHeight="1">
      <c r="A40" s="6" t="s">
        <v>37</v>
      </c>
      <c r="B40" s="5">
        <v>4.0</v>
      </c>
      <c r="C40" s="5"/>
      <c r="D40" s="5" t="s">
        <v>29</v>
      </c>
      <c r="E40" s="5" t="s">
        <v>56</v>
      </c>
      <c r="F40" s="5" t="s">
        <v>130</v>
      </c>
      <c r="G40" s="5" t="s">
        <v>72</v>
      </c>
      <c r="H40" s="6" t="s">
        <v>82</v>
      </c>
      <c r="I40" s="6" t="s">
        <v>310</v>
      </c>
      <c r="J40" s="6" t="s">
        <v>312</v>
      </c>
      <c r="K40" s="5" t="s">
        <v>67</v>
      </c>
      <c r="L40" s="5" t="s">
        <v>54</v>
      </c>
      <c r="M40" s="6"/>
      <c r="N40" s="6"/>
    </row>
    <row r="41" ht="15.75" customHeight="1">
      <c r="A41" s="6" t="s">
        <v>37</v>
      </c>
      <c r="B41" s="5">
        <v>4.0</v>
      </c>
      <c r="C41" s="5"/>
      <c r="D41" s="5" t="s">
        <v>29</v>
      </c>
      <c r="E41" s="5" t="s">
        <v>55</v>
      </c>
      <c r="F41" s="5" t="s">
        <v>58</v>
      </c>
      <c r="G41" s="5" t="s">
        <v>132</v>
      </c>
      <c r="H41" s="6" t="s">
        <v>326</v>
      </c>
      <c r="I41" s="6" t="s">
        <v>329</v>
      </c>
      <c r="J41" s="6" t="s">
        <v>331</v>
      </c>
      <c r="K41" s="5" t="s">
        <v>70</v>
      </c>
      <c r="L41" s="5" t="s">
        <v>54</v>
      </c>
      <c r="M41" s="6"/>
      <c r="N41" s="6"/>
    </row>
    <row r="42" ht="15.75" customHeight="1">
      <c r="A42" s="6" t="s">
        <v>37</v>
      </c>
      <c r="B42" s="5">
        <v>5.0</v>
      </c>
      <c r="C42" s="5"/>
      <c r="D42" s="5" t="s">
        <v>29</v>
      </c>
      <c r="E42" s="5" t="s">
        <v>32</v>
      </c>
      <c r="F42" s="5" t="s">
        <v>219</v>
      </c>
      <c r="G42" s="5" t="s">
        <v>245</v>
      </c>
      <c r="H42" s="6" t="s">
        <v>61</v>
      </c>
      <c r="I42" s="6" t="s">
        <v>346</v>
      </c>
      <c r="J42" s="6" t="s">
        <v>349</v>
      </c>
      <c r="K42" s="5" t="s">
        <v>184</v>
      </c>
      <c r="L42" s="5" t="s">
        <v>54</v>
      </c>
      <c r="M42" s="6"/>
      <c r="N42" s="6"/>
    </row>
    <row r="43" ht="15.75" customHeight="1">
      <c r="A43" s="6" t="s">
        <v>37</v>
      </c>
      <c r="B43" s="5">
        <v>5.0</v>
      </c>
      <c r="C43" s="5"/>
      <c r="D43" s="5" t="s">
        <v>29</v>
      </c>
      <c r="E43" s="5" t="s">
        <v>56</v>
      </c>
      <c r="F43" s="5" t="s">
        <v>130</v>
      </c>
      <c r="G43" s="5" t="s">
        <v>245</v>
      </c>
      <c r="H43" s="6" t="s">
        <v>134</v>
      </c>
      <c r="I43" s="6" t="s">
        <v>360</v>
      </c>
      <c r="J43" s="6" t="s">
        <v>361</v>
      </c>
      <c r="K43" s="5" t="s">
        <v>70</v>
      </c>
      <c r="L43" s="5" t="s">
        <v>54</v>
      </c>
      <c r="M43" s="6"/>
      <c r="N43" s="6"/>
    </row>
    <row r="44" ht="15.75" customHeight="1">
      <c r="A44" s="6" t="s">
        <v>150</v>
      </c>
      <c r="B44" s="5">
        <v>1.0</v>
      </c>
      <c r="C44" s="5"/>
      <c r="D44" s="5" t="s">
        <v>29</v>
      </c>
      <c r="E44" s="5" t="s">
        <v>32</v>
      </c>
      <c r="F44" s="5" t="s">
        <v>35</v>
      </c>
      <c r="G44" s="5" t="s">
        <v>36</v>
      </c>
      <c r="H44" s="6" t="s">
        <v>38</v>
      </c>
      <c r="I44" s="6" t="s">
        <v>39</v>
      </c>
      <c r="J44" s="6" t="s">
        <v>43</v>
      </c>
      <c r="K44" s="5" t="s">
        <v>49</v>
      </c>
      <c r="L44" s="5" t="s">
        <v>54</v>
      </c>
      <c r="M44" s="6"/>
      <c r="N44" s="6"/>
    </row>
    <row r="45" ht="15.75" customHeight="1">
      <c r="A45" s="6" t="s">
        <v>150</v>
      </c>
      <c r="B45" s="5">
        <v>1.0</v>
      </c>
      <c r="C45" s="5"/>
      <c r="D45" s="5" t="s">
        <v>29</v>
      </c>
      <c r="E45" s="5" t="s">
        <v>55</v>
      </c>
      <c r="F45" s="5" t="s">
        <v>57</v>
      </c>
      <c r="G45" s="5" t="s">
        <v>36</v>
      </c>
      <c r="H45" s="6" t="s">
        <v>59</v>
      </c>
      <c r="I45" s="6" t="s">
        <v>60</v>
      </c>
      <c r="J45" s="6" t="s">
        <v>62</v>
      </c>
      <c r="K45" s="5" t="s">
        <v>67</v>
      </c>
      <c r="L45" s="5" t="s">
        <v>54</v>
      </c>
      <c r="M45" s="6"/>
      <c r="N45" s="6"/>
    </row>
    <row r="46" ht="15.75" customHeight="1">
      <c r="A46" s="6" t="s">
        <v>150</v>
      </c>
      <c r="B46" s="5">
        <v>1.0</v>
      </c>
      <c r="C46" s="5"/>
      <c r="D46" s="5" t="s">
        <v>29</v>
      </c>
      <c r="E46" s="5" t="s">
        <v>56</v>
      </c>
      <c r="F46" s="5" t="s">
        <v>35</v>
      </c>
      <c r="G46" s="5" t="s">
        <v>72</v>
      </c>
      <c r="H46" s="6" t="s">
        <v>74</v>
      </c>
      <c r="I46" s="6" t="s">
        <v>76</v>
      </c>
      <c r="J46" s="6" t="s">
        <v>79</v>
      </c>
      <c r="K46" s="5" t="s">
        <v>53</v>
      </c>
      <c r="L46" s="5" t="s">
        <v>54</v>
      </c>
      <c r="M46" s="6"/>
      <c r="N46" s="6"/>
    </row>
    <row r="47" ht="15.75" customHeight="1">
      <c r="A47" s="6" t="s">
        <v>150</v>
      </c>
      <c r="B47" s="5">
        <v>1.0</v>
      </c>
      <c r="C47" s="5"/>
      <c r="D47" s="5" t="s">
        <v>29</v>
      </c>
      <c r="E47" s="5" t="s">
        <v>32</v>
      </c>
      <c r="F47" s="5" t="s">
        <v>35</v>
      </c>
      <c r="G47" s="5" t="s">
        <v>36</v>
      </c>
      <c r="H47" s="6" t="s">
        <v>96</v>
      </c>
      <c r="I47" s="6" t="s">
        <v>98</v>
      </c>
      <c r="J47" s="6" t="s">
        <v>100</v>
      </c>
      <c r="K47" s="5" t="s">
        <v>49</v>
      </c>
      <c r="L47" s="5" t="s">
        <v>54</v>
      </c>
      <c r="M47" s="6"/>
      <c r="N47" s="6"/>
    </row>
    <row r="48" ht="15.75" customHeight="1">
      <c r="A48" s="6" t="s">
        <v>150</v>
      </c>
      <c r="B48" s="5">
        <v>1.0</v>
      </c>
      <c r="C48" s="5"/>
      <c r="D48" s="5" t="s">
        <v>29</v>
      </c>
      <c r="E48" s="5" t="s">
        <v>55</v>
      </c>
      <c r="F48" s="5" t="s">
        <v>35</v>
      </c>
      <c r="G48" s="5" t="s">
        <v>72</v>
      </c>
      <c r="H48" s="6" t="s">
        <v>122</v>
      </c>
      <c r="I48" s="6" t="s">
        <v>123</v>
      </c>
      <c r="J48" s="6" t="s">
        <v>125</v>
      </c>
      <c r="K48" s="5" t="s">
        <v>131</v>
      </c>
      <c r="L48" s="5" t="s">
        <v>54</v>
      </c>
      <c r="M48" s="6"/>
      <c r="N48" s="6"/>
    </row>
    <row r="49" ht="15.75" customHeight="1">
      <c r="A49" s="6" t="s">
        <v>150</v>
      </c>
      <c r="B49" s="5">
        <v>1.0</v>
      </c>
      <c r="C49" s="5"/>
      <c r="D49" s="5" t="s">
        <v>29</v>
      </c>
      <c r="E49" s="5" t="s">
        <v>32</v>
      </c>
      <c r="F49" s="5" t="s">
        <v>35</v>
      </c>
      <c r="G49" s="5" t="s">
        <v>105</v>
      </c>
      <c r="H49" s="6" t="s">
        <v>122</v>
      </c>
      <c r="I49" s="6" t="s">
        <v>141</v>
      </c>
      <c r="J49" s="6" t="s">
        <v>143</v>
      </c>
      <c r="K49" s="5" t="s">
        <v>53</v>
      </c>
      <c r="L49" s="5" t="s">
        <v>54</v>
      </c>
      <c r="M49" s="6"/>
      <c r="N49" s="6"/>
    </row>
    <row r="50" ht="15.75" customHeight="1">
      <c r="A50" s="6" t="s">
        <v>150</v>
      </c>
      <c r="B50" s="5">
        <v>1.0</v>
      </c>
      <c r="C50" s="5"/>
      <c r="D50" s="5" t="s">
        <v>29</v>
      </c>
      <c r="E50" s="5" t="s">
        <v>56</v>
      </c>
      <c r="F50" s="5" t="s">
        <v>57</v>
      </c>
      <c r="G50" s="5" t="s">
        <v>105</v>
      </c>
      <c r="H50" s="6" t="s">
        <v>149</v>
      </c>
      <c r="I50" s="6" t="s">
        <v>152</v>
      </c>
      <c r="J50" s="6" t="s">
        <v>153</v>
      </c>
      <c r="K50" s="5" t="s">
        <v>117</v>
      </c>
      <c r="L50" s="5" t="s">
        <v>54</v>
      </c>
      <c r="M50" s="6"/>
      <c r="N50" s="6"/>
    </row>
    <row r="51" ht="15.75" customHeight="1">
      <c r="A51" s="6" t="s">
        <v>150</v>
      </c>
      <c r="B51" s="5">
        <v>2.0</v>
      </c>
      <c r="C51" s="5"/>
      <c r="D51" s="5" t="s">
        <v>29</v>
      </c>
      <c r="E51" s="5" t="s">
        <v>55</v>
      </c>
      <c r="F51" s="5" t="s">
        <v>57</v>
      </c>
      <c r="G51" s="5" t="s">
        <v>78</v>
      </c>
      <c r="H51" s="6" t="s">
        <v>158</v>
      </c>
      <c r="I51" s="6" t="s">
        <v>159</v>
      </c>
      <c r="J51" s="6" t="s">
        <v>160</v>
      </c>
      <c r="K51" s="5" t="s">
        <v>67</v>
      </c>
      <c r="L51" s="5" t="s">
        <v>54</v>
      </c>
      <c r="M51" s="6"/>
      <c r="N51" s="6"/>
    </row>
    <row r="52" ht="15.75" customHeight="1">
      <c r="A52" s="6" t="s">
        <v>150</v>
      </c>
      <c r="B52" s="5">
        <v>2.0</v>
      </c>
      <c r="C52" s="5"/>
      <c r="D52" s="5" t="s">
        <v>29</v>
      </c>
      <c r="E52" s="5" t="s">
        <v>32</v>
      </c>
      <c r="F52" s="5" t="s">
        <v>35</v>
      </c>
      <c r="G52" s="5" t="s">
        <v>105</v>
      </c>
      <c r="H52" s="6" t="s">
        <v>167</v>
      </c>
      <c r="I52" s="6" t="s">
        <v>168</v>
      </c>
      <c r="J52" s="6" t="s">
        <v>170</v>
      </c>
      <c r="K52" s="5" t="s">
        <v>173</v>
      </c>
      <c r="L52" s="5" t="s">
        <v>54</v>
      </c>
      <c r="M52" s="6"/>
      <c r="N52" s="6"/>
    </row>
    <row r="53" ht="15.75" customHeight="1">
      <c r="A53" s="6" t="s">
        <v>150</v>
      </c>
      <c r="B53" s="5">
        <v>2.0</v>
      </c>
      <c r="C53" s="5"/>
      <c r="D53" s="5" t="s">
        <v>29</v>
      </c>
      <c r="E53" s="5" t="s">
        <v>55</v>
      </c>
      <c r="F53" s="5" t="s">
        <v>35</v>
      </c>
      <c r="G53" s="5" t="s">
        <v>132</v>
      </c>
      <c r="H53" s="6" t="s">
        <v>178</v>
      </c>
      <c r="I53" s="6" t="s">
        <v>180</v>
      </c>
      <c r="J53" s="6" t="s">
        <v>182</v>
      </c>
      <c r="K53" s="5" t="s">
        <v>186</v>
      </c>
      <c r="L53" s="5" t="s">
        <v>54</v>
      </c>
      <c r="M53" s="6"/>
      <c r="N53" s="6"/>
    </row>
    <row r="54" ht="15.75" customHeight="1">
      <c r="A54" s="6" t="s">
        <v>150</v>
      </c>
      <c r="B54" s="5">
        <v>2.0</v>
      </c>
      <c r="C54" s="5"/>
      <c r="D54" s="5" t="s">
        <v>29</v>
      </c>
      <c r="E54" s="5" t="s">
        <v>56</v>
      </c>
      <c r="F54" s="5" t="s">
        <v>35</v>
      </c>
      <c r="G54" s="5" t="s">
        <v>132</v>
      </c>
      <c r="H54" s="6" t="s">
        <v>134</v>
      </c>
      <c r="I54" s="6" t="s">
        <v>187</v>
      </c>
      <c r="J54" s="6" t="s">
        <v>189</v>
      </c>
      <c r="K54" s="5" t="s">
        <v>192</v>
      </c>
      <c r="L54" s="5" t="s">
        <v>54</v>
      </c>
      <c r="M54" s="6"/>
      <c r="N54" s="6"/>
    </row>
    <row r="55" ht="15.75" customHeight="1">
      <c r="A55" s="6" t="s">
        <v>150</v>
      </c>
      <c r="B55" s="5">
        <v>2.0</v>
      </c>
      <c r="C55" s="5"/>
      <c r="D55" s="5" t="s">
        <v>29</v>
      </c>
      <c r="E55" s="5" t="s">
        <v>32</v>
      </c>
      <c r="F55" s="5" t="s">
        <v>35</v>
      </c>
      <c r="G55" s="5" t="s">
        <v>72</v>
      </c>
      <c r="H55" s="6" t="s">
        <v>199</v>
      </c>
      <c r="I55" s="6" t="s">
        <v>200</v>
      </c>
      <c r="J55" s="6" t="s">
        <v>201</v>
      </c>
      <c r="K55" s="5" t="s">
        <v>173</v>
      </c>
      <c r="L55" s="5" t="s">
        <v>54</v>
      </c>
      <c r="M55" s="6"/>
      <c r="N55" s="6"/>
    </row>
    <row r="56" ht="15.75" customHeight="1">
      <c r="A56" s="6" t="s">
        <v>150</v>
      </c>
      <c r="B56" s="5">
        <v>2.0</v>
      </c>
      <c r="C56" s="5"/>
      <c r="D56" s="5" t="s">
        <v>29</v>
      </c>
      <c r="E56" s="5" t="s">
        <v>55</v>
      </c>
      <c r="F56" s="5" t="s">
        <v>57</v>
      </c>
      <c r="G56" s="5" t="s">
        <v>78</v>
      </c>
      <c r="H56" s="6" t="s">
        <v>82</v>
      </c>
      <c r="I56" s="6" t="s">
        <v>205</v>
      </c>
      <c r="J56" s="6" t="s">
        <v>207</v>
      </c>
      <c r="K56" s="5" t="s">
        <v>166</v>
      </c>
      <c r="L56" s="5" t="s">
        <v>54</v>
      </c>
      <c r="M56" s="6"/>
      <c r="N56" s="6"/>
    </row>
    <row r="57" ht="15.75" customHeight="1">
      <c r="A57" s="6" t="s">
        <v>150</v>
      </c>
      <c r="B57" s="5">
        <v>2.0</v>
      </c>
      <c r="C57" s="5"/>
      <c r="D57" s="5" t="s">
        <v>29</v>
      </c>
      <c r="E57" s="5" t="s">
        <v>32</v>
      </c>
      <c r="F57" s="5" t="s">
        <v>35</v>
      </c>
      <c r="G57" s="5" t="s">
        <v>72</v>
      </c>
      <c r="H57" s="6" t="s">
        <v>215</v>
      </c>
      <c r="I57" s="6" t="s">
        <v>216</v>
      </c>
      <c r="J57" s="6" t="s">
        <v>217</v>
      </c>
      <c r="K57" s="5" t="s">
        <v>49</v>
      </c>
      <c r="L57" s="5" t="s">
        <v>54</v>
      </c>
      <c r="M57" s="6"/>
      <c r="N57" s="6"/>
    </row>
    <row r="58" ht="15.75" customHeight="1">
      <c r="A58" s="6" t="s">
        <v>150</v>
      </c>
      <c r="B58" s="5">
        <v>3.0</v>
      </c>
      <c r="C58" s="5"/>
      <c r="D58" s="5" t="s">
        <v>29</v>
      </c>
      <c r="E58" s="5" t="s">
        <v>55</v>
      </c>
      <c r="F58" s="5" t="s">
        <v>35</v>
      </c>
      <c r="G58" s="5" t="s">
        <v>132</v>
      </c>
      <c r="H58" s="6" t="s">
        <v>226</v>
      </c>
      <c r="I58" s="6" t="s">
        <v>227</v>
      </c>
      <c r="J58" s="6" t="s">
        <v>228</v>
      </c>
      <c r="K58" s="5" t="s">
        <v>186</v>
      </c>
      <c r="L58" s="5" t="s">
        <v>54</v>
      </c>
      <c r="M58" s="6"/>
      <c r="N58" s="6"/>
    </row>
    <row r="59" ht="15.75" customHeight="1">
      <c r="A59" s="6" t="s">
        <v>150</v>
      </c>
      <c r="B59" s="5">
        <v>3.0</v>
      </c>
      <c r="C59" s="5"/>
      <c r="D59" s="5" t="s">
        <v>29</v>
      </c>
      <c r="E59" s="5" t="s">
        <v>56</v>
      </c>
      <c r="F59" s="5" t="s">
        <v>57</v>
      </c>
      <c r="G59" s="5" t="s">
        <v>105</v>
      </c>
      <c r="H59" s="6" t="s">
        <v>235</v>
      </c>
      <c r="I59" s="6" t="s">
        <v>237</v>
      </c>
      <c r="J59" s="6" t="s">
        <v>238</v>
      </c>
      <c r="K59" s="5" t="s">
        <v>117</v>
      </c>
      <c r="L59" s="5" t="s">
        <v>54</v>
      </c>
      <c r="M59" s="6"/>
      <c r="N59" s="6"/>
    </row>
    <row r="60" ht="15.75" customHeight="1">
      <c r="A60" s="6" t="s">
        <v>150</v>
      </c>
      <c r="B60" s="5">
        <v>3.0</v>
      </c>
      <c r="C60" s="5"/>
      <c r="D60" s="5" t="s">
        <v>29</v>
      </c>
      <c r="E60" s="5" t="s">
        <v>32</v>
      </c>
      <c r="F60" s="5" t="s">
        <v>35</v>
      </c>
      <c r="G60" s="5" t="s">
        <v>245</v>
      </c>
      <c r="H60" s="6" t="s">
        <v>246</v>
      </c>
      <c r="I60" s="6" t="s">
        <v>247</v>
      </c>
      <c r="J60" s="6" t="s">
        <v>248</v>
      </c>
      <c r="K60" s="5" t="s">
        <v>49</v>
      </c>
      <c r="L60" s="5" t="s">
        <v>54</v>
      </c>
      <c r="M60" s="6"/>
      <c r="N60" s="6"/>
    </row>
    <row r="61" ht="15.75" customHeight="1">
      <c r="A61" s="6" t="s">
        <v>150</v>
      </c>
      <c r="B61" s="5">
        <v>3.0</v>
      </c>
      <c r="C61" s="5"/>
      <c r="D61" s="5" t="s">
        <v>29</v>
      </c>
      <c r="E61" s="5" t="s">
        <v>55</v>
      </c>
      <c r="F61" s="5" t="s">
        <v>57</v>
      </c>
      <c r="G61" s="5" t="s">
        <v>78</v>
      </c>
      <c r="H61" s="6" t="s">
        <v>256</v>
      </c>
      <c r="I61" s="6" t="s">
        <v>257</v>
      </c>
      <c r="J61" s="6" t="s">
        <v>258</v>
      </c>
      <c r="K61" s="5" t="s">
        <v>67</v>
      </c>
      <c r="L61" s="5" t="s">
        <v>54</v>
      </c>
      <c r="M61" s="6"/>
      <c r="N61" s="6"/>
    </row>
    <row r="62" ht="15.75" customHeight="1">
      <c r="A62" s="6" t="s">
        <v>150</v>
      </c>
      <c r="B62" s="5">
        <v>3.0</v>
      </c>
      <c r="C62" s="5"/>
      <c r="D62" s="5" t="s">
        <v>29</v>
      </c>
      <c r="E62" s="5" t="s">
        <v>32</v>
      </c>
      <c r="F62" s="5" t="s">
        <v>35</v>
      </c>
      <c r="G62" s="5" t="s">
        <v>132</v>
      </c>
      <c r="H62" s="6" t="s">
        <v>263</v>
      </c>
      <c r="I62" s="6" t="s">
        <v>265</v>
      </c>
      <c r="J62" s="6" t="s">
        <v>266</v>
      </c>
      <c r="K62" s="5" t="s">
        <v>186</v>
      </c>
      <c r="L62" s="5" t="s">
        <v>54</v>
      </c>
      <c r="M62" s="6"/>
      <c r="N62" s="6"/>
    </row>
    <row r="63" ht="15.75" customHeight="1">
      <c r="A63" s="6" t="s">
        <v>150</v>
      </c>
      <c r="B63" s="5">
        <v>3.0</v>
      </c>
      <c r="C63" s="5"/>
      <c r="D63" s="5" t="s">
        <v>29</v>
      </c>
      <c r="E63" s="5" t="s">
        <v>55</v>
      </c>
      <c r="F63" s="5" t="s">
        <v>35</v>
      </c>
      <c r="G63" s="5" t="s">
        <v>132</v>
      </c>
      <c r="H63" s="6" t="s">
        <v>270</v>
      </c>
      <c r="I63" s="6" t="s">
        <v>271</v>
      </c>
      <c r="J63" s="6" t="s">
        <v>272</v>
      </c>
      <c r="K63" s="5" t="s">
        <v>173</v>
      </c>
      <c r="L63" s="5" t="s">
        <v>54</v>
      </c>
      <c r="M63" s="6"/>
      <c r="N63" s="6"/>
    </row>
    <row r="64" ht="15.75" customHeight="1">
      <c r="A64" s="6" t="s">
        <v>150</v>
      </c>
      <c r="B64" s="5">
        <v>3.0</v>
      </c>
      <c r="C64" s="5"/>
      <c r="D64" s="5" t="s">
        <v>29</v>
      </c>
      <c r="E64" s="5" t="s">
        <v>56</v>
      </c>
      <c r="F64" s="5" t="s">
        <v>35</v>
      </c>
      <c r="G64" s="5" t="s">
        <v>245</v>
      </c>
      <c r="H64" s="6" t="s">
        <v>278</v>
      </c>
      <c r="I64" s="6" t="s">
        <v>279</v>
      </c>
      <c r="J64" s="6" t="s">
        <v>280</v>
      </c>
      <c r="K64" s="5" t="s">
        <v>49</v>
      </c>
      <c r="L64" s="5" t="s">
        <v>54</v>
      </c>
      <c r="M64" s="6"/>
      <c r="N64" s="6"/>
    </row>
    <row r="65" ht="15.75" customHeight="1">
      <c r="A65" s="6" t="s">
        <v>150</v>
      </c>
      <c r="B65" s="5">
        <v>4.0</v>
      </c>
      <c r="C65" s="5"/>
      <c r="D65" s="5" t="s">
        <v>29</v>
      </c>
      <c r="E65" s="5" t="s">
        <v>32</v>
      </c>
      <c r="F65" s="5" t="s">
        <v>35</v>
      </c>
      <c r="G65" s="5" t="s">
        <v>105</v>
      </c>
      <c r="H65" s="6" t="s">
        <v>283</v>
      </c>
      <c r="I65" s="6" t="s">
        <v>284</v>
      </c>
      <c r="J65" s="6" t="s">
        <v>286</v>
      </c>
      <c r="K65" s="5" t="s">
        <v>173</v>
      </c>
      <c r="L65" s="5" t="s">
        <v>54</v>
      </c>
      <c r="M65" s="6"/>
      <c r="N65" s="6"/>
    </row>
    <row r="66" ht="15.75" customHeight="1">
      <c r="A66" s="6" t="s">
        <v>150</v>
      </c>
      <c r="B66" s="5">
        <v>4.0</v>
      </c>
      <c r="C66" s="5"/>
      <c r="D66" s="5" t="s">
        <v>29</v>
      </c>
      <c r="E66" s="5" t="s">
        <v>55</v>
      </c>
      <c r="F66" s="5" t="s">
        <v>57</v>
      </c>
      <c r="G66" s="5" t="s">
        <v>105</v>
      </c>
      <c r="H66" s="6" t="s">
        <v>291</v>
      </c>
      <c r="I66" s="6" t="s">
        <v>293</v>
      </c>
      <c r="J66" s="6" t="s">
        <v>295</v>
      </c>
      <c r="K66" s="5" t="s">
        <v>67</v>
      </c>
      <c r="L66" s="5" t="s">
        <v>54</v>
      </c>
      <c r="M66" s="6"/>
      <c r="N66" s="6"/>
    </row>
    <row r="67" ht="15.75" customHeight="1">
      <c r="A67" s="6" t="s">
        <v>150</v>
      </c>
      <c r="B67" s="5">
        <v>4.0</v>
      </c>
      <c r="C67" s="5"/>
      <c r="D67" s="5" t="s">
        <v>29</v>
      </c>
      <c r="E67" s="5" t="s">
        <v>32</v>
      </c>
      <c r="F67" s="5" t="s">
        <v>35</v>
      </c>
      <c r="G67" s="5" t="s">
        <v>72</v>
      </c>
      <c r="H67" s="6" t="s">
        <v>307</v>
      </c>
      <c r="I67" s="6" t="s">
        <v>308</v>
      </c>
      <c r="J67" s="6" t="s">
        <v>309</v>
      </c>
      <c r="K67" s="5" t="s">
        <v>131</v>
      </c>
      <c r="L67" s="5" t="s">
        <v>54</v>
      </c>
      <c r="M67" s="6"/>
      <c r="N67" s="6"/>
    </row>
    <row r="68" ht="15.75" customHeight="1">
      <c r="A68" s="6" t="s">
        <v>150</v>
      </c>
      <c r="B68" s="5">
        <v>4.0</v>
      </c>
      <c r="C68" s="5"/>
      <c r="D68" s="5" t="s">
        <v>29</v>
      </c>
      <c r="E68" s="5" t="s">
        <v>55</v>
      </c>
      <c r="F68" s="5" t="s">
        <v>35</v>
      </c>
      <c r="G68" s="5" t="s">
        <v>132</v>
      </c>
      <c r="H68" s="6" t="s">
        <v>319</v>
      </c>
      <c r="I68" s="6" t="s">
        <v>320</v>
      </c>
      <c r="J68" s="6" t="s">
        <v>321</v>
      </c>
      <c r="K68" s="5" t="s">
        <v>173</v>
      </c>
      <c r="L68" s="5" t="s">
        <v>54</v>
      </c>
      <c r="M68" s="6"/>
      <c r="N68" s="6"/>
    </row>
    <row r="69" ht="15.75" customHeight="1">
      <c r="A69" s="6" t="s">
        <v>150</v>
      </c>
      <c r="B69" s="5">
        <v>4.0</v>
      </c>
      <c r="C69" s="5"/>
      <c r="D69" s="5" t="s">
        <v>29</v>
      </c>
      <c r="E69" s="5" t="s">
        <v>56</v>
      </c>
      <c r="F69" s="5" t="s">
        <v>35</v>
      </c>
      <c r="G69" s="5" t="s">
        <v>132</v>
      </c>
      <c r="H69" s="6" t="s">
        <v>334</v>
      </c>
      <c r="I69" s="6" t="s">
        <v>335</v>
      </c>
      <c r="J69" s="6" t="s">
        <v>336</v>
      </c>
      <c r="K69" s="5" t="s">
        <v>186</v>
      </c>
      <c r="L69" s="5" t="s">
        <v>54</v>
      </c>
      <c r="M69" s="6"/>
      <c r="N69" s="6"/>
    </row>
    <row r="70" ht="15.75" customHeight="1">
      <c r="A70" s="6" t="s">
        <v>150</v>
      </c>
      <c r="B70" s="5">
        <v>4.0</v>
      </c>
      <c r="C70" s="5"/>
      <c r="D70" s="5" t="s">
        <v>29</v>
      </c>
      <c r="E70" s="5" t="s">
        <v>32</v>
      </c>
      <c r="F70" s="5" t="s">
        <v>57</v>
      </c>
      <c r="G70" s="5" t="s">
        <v>105</v>
      </c>
      <c r="H70" s="6" t="s">
        <v>343</v>
      </c>
      <c r="I70" s="6" t="s">
        <v>345</v>
      </c>
      <c r="J70" s="6" t="s">
        <v>347</v>
      </c>
      <c r="K70" s="5" t="s">
        <v>117</v>
      </c>
      <c r="L70" s="5" t="s">
        <v>54</v>
      </c>
      <c r="M70" s="6"/>
      <c r="N70" s="6"/>
    </row>
    <row r="71" ht="15.75" customHeight="1">
      <c r="A71" s="6" t="s">
        <v>150</v>
      </c>
      <c r="B71" s="5">
        <v>4.0</v>
      </c>
      <c r="C71" s="5"/>
      <c r="D71" s="5" t="s">
        <v>29</v>
      </c>
      <c r="E71" s="5" t="s">
        <v>55</v>
      </c>
      <c r="F71" s="5" t="s">
        <v>35</v>
      </c>
      <c r="G71" s="5" t="s">
        <v>245</v>
      </c>
      <c r="H71" s="6" t="s">
        <v>356</v>
      </c>
      <c r="I71" s="6" t="s">
        <v>357</v>
      </c>
      <c r="J71" s="6" t="s">
        <v>358</v>
      </c>
      <c r="K71" s="5" t="s">
        <v>49</v>
      </c>
      <c r="L71" s="5" t="s">
        <v>54</v>
      </c>
      <c r="M71" s="6"/>
      <c r="N71" s="6"/>
    </row>
    <row r="72" ht="15.75" customHeight="1">
      <c r="A72" s="6" t="s">
        <v>150</v>
      </c>
      <c r="B72" s="5">
        <v>5.0</v>
      </c>
      <c r="C72" s="5"/>
      <c r="D72" s="5" t="s">
        <v>29</v>
      </c>
      <c r="E72" s="5" t="s">
        <v>32</v>
      </c>
      <c r="F72" s="5" t="s">
        <v>35</v>
      </c>
      <c r="G72" s="5" t="s">
        <v>245</v>
      </c>
      <c r="H72" s="6" t="s">
        <v>362</v>
      </c>
      <c r="I72" s="6" t="s">
        <v>365</v>
      </c>
      <c r="J72" s="6" t="s">
        <v>369</v>
      </c>
      <c r="K72" s="5" t="s">
        <v>173</v>
      </c>
      <c r="L72" s="5" t="s">
        <v>54</v>
      </c>
      <c r="M72" s="6"/>
      <c r="N72" s="6"/>
    </row>
    <row r="73" ht="15.75" customHeight="1">
      <c r="A73" s="6" t="s">
        <v>150</v>
      </c>
      <c r="B73" s="5">
        <v>5.0</v>
      </c>
      <c r="C73" s="5"/>
      <c r="D73" s="5" t="s">
        <v>29</v>
      </c>
      <c r="E73" s="5" t="s">
        <v>55</v>
      </c>
      <c r="F73" s="5" t="s">
        <v>35</v>
      </c>
      <c r="G73" s="5" t="s">
        <v>245</v>
      </c>
      <c r="H73" s="6" t="s">
        <v>12</v>
      </c>
      <c r="I73" s="6" t="s">
        <v>380</v>
      </c>
      <c r="J73" s="6" t="s">
        <v>382</v>
      </c>
      <c r="K73" s="5" t="s">
        <v>49</v>
      </c>
      <c r="L73" s="5" t="s">
        <v>54</v>
      </c>
      <c r="M73" s="6"/>
      <c r="N73" s="6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L73">
    <cfRule type="expression" dxfId="0" priority="1">
      <formula>ISNUMBER(SEARCH("planned",L2))</formula>
    </cfRule>
  </conditionalFormatting>
  <conditionalFormatting sqref="L2:L73">
    <cfRule type="expression" dxfId="1" priority="2">
      <formula>ISNUMBER(SEARCH("approved",L2))</formula>
    </cfRule>
  </conditionalFormatting>
  <conditionalFormatting sqref="L2:L73">
    <cfRule type="expression" dxfId="2" priority="3">
      <formula>ISNUMBER(SEARCH("published",L2))</formula>
    </cfRule>
  </conditionalFormatting>
  <conditionalFormatting sqref="L2:L73">
    <cfRule type="expression" dxfId="3" priority="4">
      <formula>ISNUMBER(SEARCH("draft",L2))</formula>
    </cfRule>
  </conditionalFormatting>
  <conditionalFormatting sqref="L2:L73">
    <cfRule type="expression" dxfId="4" priority="5">
      <formula>ISNUMBER(SEARCH("revision",L2))</formula>
    </cfRule>
  </conditionalFormatting>
  <printOptions/>
  <pageMargins bottom="1.0" footer="0.0" header="0.0" left="0.75" right="0.75" top="1.0"/>
  <pageSetup paperSize="9" orientation="portrait"/>
  <drawing r:id="rId1"/>
</worksheet>
</file>